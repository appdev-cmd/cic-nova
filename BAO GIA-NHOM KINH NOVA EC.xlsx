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g.nguyenthi\Downloads\"/>
    </mc:Choice>
  </mc:AlternateContent>
  <xr:revisionPtr revIDLastSave="0" documentId="8_{B8B3B49A-31D1-4982-B1BB-C648B6C39BF6}" xr6:coauthVersionLast="37" xr6:coauthVersionMax="37" xr10:uidLastSave="{00000000-0000-0000-0000-000000000000}"/>
  <bookViews>
    <workbookView xWindow="0" yWindow="0" windowWidth="23040" windowHeight="9684" xr2:uid="{D75F85FE-A9FC-4D49-BBCA-876F07912C9F}"/>
  </bookViews>
  <sheets>
    <sheet name="CPHoanThien" sheetId="1" r:id="rId1"/>
    <sheet name="DETAIL" sheetId="2" r:id="rId2"/>
    <sheet name="CSL-50.01" sheetId="3" r:id="rId3"/>
    <sheet name="CSL-50.02" sheetId="4" r:id="rId4"/>
    <sheet name="CSL-50.03" sheetId="5" r:id="rId5"/>
  </sheets>
  <externalReferences>
    <externalReference r:id="rId6"/>
  </externalReferences>
  <definedNames>
    <definedName name="Alu_data">[1]ALUDATA!$D:$E</definedName>
    <definedName name="bctc">'[1]THIET DAT'!$I$34</definedName>
    <definedName name="CHIPHITAICHINH">'[1]CHI PHI TAI CHINH'!$I$22</definedName>
    <definedName name="cpct">'[1]THIET DAT'!$I$6</definedName>
    <definedName name="cpcty">'[1]THIET DAT'!$I$35</definedName>
    <definedName name="cpk">'[1]THIET DAT'!$I$38</definedName>
    <definedName name="DiengiaiPKCN50.65">'[1]PKCN-50+65'!$D:$E</definedName>
    <definedName name="DiengiaiPKCN55.93">'[1]PKCN-55+93'!$D:$E</definedName>
    <definedName name="diengiaivattu">[1]Banggiaphukien!$A:$A</definedName>
    <definedName name="dongiakinh">'[1]THIET DAT'!$D:$D</definedName>
    <definedName name="dongiavattu">[1]Banggiaphukien!$E:$E</definedName>
    <definedName name="donvivattu">[1]Banggiaphukien!$C:$C</definedName>
    <definedName name="dpbh">'[1]THIET DAT'!$I$37</definedName>
    <definedName name="dpp">'[1]THIET DAT'!$I$36</definedName>
    <definedName name="ghichuvattu">[1]Banggiaphukien!$F:$F</definedName>
    <definedName name="gn">'[1]THIET DAT'!$I$8</definedName>
    <definedName name="gn_cdl">'[1]THIET DAT'!$I$10</definedName>
    <definedName name="gn_cdmq">'[1]THIET DAT'!$I$9</definedName>
    <definedName name="gn_csb">'[1]THIET DAT'!$I$11</definedName>
    <definedName name="gn_csl">'[1]THIET DAT'!$I$12</definedName>
    <definedName name="gnt">'[1]THIET DAT'!$I$7</definedName>
    <definedName name="hp_kinh">'[1]THIET DAT'!$I$32</definedName>
    <definedName name="hp_nhom">'[1]THIET DAT'!$I$31</definedName>
    <definedName name="hp_vtk">'[1]THIET DAT'!$I$33</definedName>
    <definedName name="HS_CLTD">'[1]PHU KIEN CLTD'!$C$2</definedName>
    <definedName name="khuon">'[1]THIET DAT'!$I$4</definedName>
    <definedName name="MACUA">[1]BKL!$B:$B</definedName>
    <definedName name="makinh">'[1]THIET DAT'!$B:$B</definedName>
    <definedName name="MAPROFILE">[1]ALUDATA!$D:$D</definedName>
    <definedName name="mavattu">[1]Banggiaphukien!$B:$B</definedName>
    <definedName name="ncld">'[1]THIET DAT'!$I$15</definedName>
    <definedName name="ncldvkt">'[1]THIET DAT'!$I$22</definedName>
    <definedName name="ncsx_cdl">'[1]THIET DAT'!$I$40</definedName>
    <definedName name="ncsx_cdmq">'[1]THIET DAT'!$I$39</definedName>
    <definedName name="ncsx_csb">'[1]THIET DAT'!$I$41</definedName>
    <definedName name="ncsx_csl">'[1]THIET DAT'!$I$42</definedName>
    <definedName name="pkbls">[1]PKBLS!$E$3</definedName>
    <definedName name="pkcn50.65">'[1]PKCN-50+65'!$A$2</definedName>
    <definedName name="pkcn55.93">'[1]PKCN-55+93'!$A$2</definedName>
    <definedName name="pkvkt">[1]PKVKT!$E$3</definedName>
    <definedName name="_xlnm.Print_Titles" localSheetId="1">DETAIL!$8:$8</definedName>
    <definedName name="SOLUONG">[1]BKL!$K:$K</definedName>
    <definedName name="tbtc">'[1]THIET DAT'!$I$5</definedName>
    <definedName name="tenkinh">'[1]THIET DAT'!$A:$A</definedName>
    <definedName name="TENPROFILE">[1]ALUDATA!$C:$C</definedName>
    <definedName name="vc">'[1]THIET DAT'!$I$2</definedName>
    <definedName name="vs">'[1]THIET DAT'!$I$3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7" i="5" l="1"/>
  <c r="H186" i="5"/>
  <c r="H166" i="5"/>
  <c r="C166" i="5"/>
  <c r="A166" i="5"/>
  <c r="H137" i="5"/>
  <c r="G137" i="5"/>
  <c r="I137" i="5" s="1"/>
  <c r="I136" i="5" s="1"/>
  <c r="B137" i="5"/>
  <c r="C137" i="5" s="1"/>
  <c r="A137" i="5"/>
  <c r="H130" i="5"/>
  <c r="A130" i="5"/>
  <c r="H129" i="5"/>
  <c r="A129" i="5"/>
  <c r="H128" i="5"/>
  <c r="H127" i="5"/>
  <c r="A127" i="5"/>
  <c r="H125" i="5"/>
  <c r="G125" i="5"/>
  <c r="I125" i="5" s="1"/>
  <c r="A125" i="5"/>
  <c r="H124" i="5"/>
  <c r="G124" i="5"/>
  <c r="I124" i="5" s="1"/>
  <c r="A124" i="5"/>
  <c r="H123" i="5"/>
  <c r="G123" i="5"/>
  <c r="I123" i="5" s="1"/>
  <c r="A123" i="5"/>
  <c r="H122" i="5"/>
  <c r="A122" i="5"/>
  <c r="H121" i="5"/>
  <c r="A121" i="5"/>
  <c r="A120" i="5"/>
  <c r="A119" i="5"/>
  <c r="A118" i="5"/>
  <c r="A117" i="5"/>
  <c r="L114" i="5"/>
  <c r="K114" i="5"/>
  <c r="J114" i="5"/>
  <c r="H114" i="5"/>
  <c r="D114" i="5"/>
  <c r="B114" i="5"/>
  <c r="A114" i="5" s="1"/>
  <c r="L113" i="5"/>
  <c r="K113" i="5"/>
  <c r="D113" i="5" s="1"/>
  <c r="J113" i="5"/>
  <c r="B113" i="5"/>
  <c r="H113" i="5" s="1"/>
  <c r="A113" i="5"/>
  <c r="H75" i="5"/>
  <c r="E75" i="5"/>
  <c r="G75" i="5" s="1"/>
  <c r="I75" i="5" s="1"/>
  <c r="C75" i="5"/>
  <c r="A75" i="5"/>
  <c r="H74" i="5"/>
  <c r="C74" i="5"/>
  <c r="A74" i="5"/>
  <c r="H73" i="5"/>
  <c r="G73" i="5"/>
  <c r="I73" i="5" s="1"/>
  <c r="E73" i="5"/>
  <c r="C73" i="5"/>
  <c r="A73" i="5"/>
  <c r="H33" i="5"/>
  <c r="F33" i="5"/>
  <c r="G33" i="5" s="1"/>
  <c r="I33" i="5" s="1"/>
  <c r="A33" i="5"/>
  <c r="J31" i="5"/>
  <c r="H31" i="5"/>
  <c r="F31" i="5"/>
  <c r="E31" i="5"/>
  <c r="D31" i="5"/>
  <c r="G31" i="5" s="1"/>
  <c r="I31" i="5" s="1"/>
  <c r="A31" i="5"/>
  <c r="J30" i="5"/>
  <c r="H30" i="5"/>
  <c r="F30" i="5"/>
  <c r="E30" i="5"/>
  <c r="D30" i="5"/>
  <c r="G30" i="5" s="1"/>
  <c r="I30" i="5" s="1"/>
  <c r="A30" i="5"/>
  <c r="J29" i="5"/>
  <c r="H29" i="5"/>
  <c r="F29" i="5"/>
  <c r="D29" i="5"/>
  <c r="G29" i="5" s="1"/>
  <c r="I29" i="5" s="1"/>
  <c r="A29" i="5"/>
  <c r="H28" i="5"/>
  <c r="F28" i="5"/>
  <c r="A28" i="5"/>
  <c r="J26" i="5"/>
  <c r="D26" i="5" s="1"/>
  <c r="G26" i="5" s="1"/>
  <c r="I26" i="5" s="1"/>
  <c r="H26" i="5"/>
  <c r="F26" i="5"/>
  <c r="A26" i="5"/>
  <c r="H24" i="5"/>
  <c r="G24" i="5"/>
  <c r="I24" i="5" s="1"/>
  <c r="F24" i="5"/>
  <c r="E24" i="5"/>
  <c r="A24" i="5"/>
  <c r="H23" i="5"/>
  <c r="F23" i="5"/>
  <c r="G23" i="5" s="1"/>
  <c r="I23" i="5" s="1"/>
  <c r="A23" i="5"/>
  <c r="J21" i="5"/>
  <c r="D21" i="5" s="1"/>
  <c r="G21" i="5" s="1"/>
  <c r="I21" i="5" s="1"/>
  <c r="H21" i="5"/>
  <c r="F21" i="5"/>
  <c r="A21" i="5"/>
  <c r="J20" i="5"/>
  <c r="D20" i="5" s="1"/>
  <c r="G20" i="5" s="1"/>
  <c r="I20" i="5" s="1"/>
  <c r="H20" i="5"/>
  <c r="F20" i="5"/>
  <c r="E20" i="5"/>
  <c r="A20" i="5"/>
  <c r="J19" i="5"/>
  <c r="D19" i="5" s="1"/>
  <c r="G19" i="5" s="1"/>
  <c r="I19" i="5" s="1"/>
  <c r="H19" i="5"/>
  <c r="F19" i="5"/>
  <c r="A19" i="5"/>
  <c r="J18" i="5"/>
  <c r="D18" i="5" s="1"/>
  <c r="G18" i="5" s="1"/>
  <c r="I18" i="5" s="1"/>
  <c r="H18" i="5"/>
  <c r="F18" i="5"/>
  <c r="A18" i="5"/>
  <c r="J16" i="5"/>
  <c r="D16" i="5" s="1"/>
  <c r="G16" i="5" s="1"/>
  <c r="I16" i="5" s="1"/>
  <c r="H16" i="5"/>
  <c r="F16" i="5"/>
  <c r="A16" i="5"/>
  <c r="J15" i="5"/>
  <c r="H15" i="5"/>
  <c r="F15" i="5"/>
  <c r="A15" i="5"/>
  <c r="J14" i="5"/>
  <c r="H14" i="5"/>
  <c r="F14" i="5"/>
  <c r="G14" i="5" s="1"/>
  <c r="D14" i="5"/>
  <c r="A14" i="5"/>
  <c r="C11" i="5"/>
  <c r="D28" i="5" s="1"/>
  <c r="G28" i="5" s="1"/>
  <c r="I28" i="5" s="1"/>
  <c r="C10" i="5"/>
  <c r="C114" i="5" s="1"/>
  <c r="C8" i="5"/>
  <c r="C113" i="5" s="1"/>
  <c r="F7" i="5"/>
  <c r="G12" i="2" s="1"/>
  <c r="G6" i="5"/>
  <c r="G5" i="5"/>
  <c r="F5" i="5"/>
  <c r="G127" i="5" s="1"/>
  <c r="I127" i="5" s="1"/>
  <c r="A2" i="5"/>
  <c r="H187" i="4"/>
  <c r="H186" i="4"/>
  <c r="H166" i="4"/>
  <c r="C166" i="4"/>
  <c r="A166" i="4"/>
  <c r="H137" i="4"/>
  <c r="G137" i="4"/>
  <c r="I137" i="4" s="1"/>
  <c r="I136" i="4" s="1"/>
  <c r="C137" i="4"/>
  <c r="B137" i="4"/>
  <c r="A137" i="4" s="1"/>
  <c r="H130" i="4"/>
  <c r="A130" i="4"/>
  <c r="H129" i="4"/>
  <c r="A129" i="4"/>
  <c r="H128" i="4"/>
  <c r="H127" i="4"/>
  <c r="A127" i="4"/>
  <c r="H125" i="4"/>
  <c r="G125" i="4"/>
  <c r="I125" i="4" s="1"/>
  <c r="A125" i="4"/>
  <c r="I124" i="4"/>
  <c r="H124" i="4"/>
  <c r="G124" i="4"/>
  <c r="A124" i="4"/>
  <c r="H123" i="4"/>
  <c r="G123" i="4"/>
  <c r="I123" i="4" s="1"/>
  <c r="A123" i="4"/>
  <c r="H122" i="4"/>
  <c r="A122" i="4"/>
  <c r="H121" i="4"/>
  <c r="A121" i="4"/>
  <c r="A120" i="4"/>
  <c r="A119" i="4"/>
  <c r="A118" i="4"/>
  <c r="A117" i="4"/>
  <c r="L114" i="4"/>
  <c r="K114" i="4"/>
  <c r="J114" i="4"/>
  <c r="H114" i="4"/>
  <c r="B114" i="4"/>
  <c r="A114" i="4"/>
  <c r="L113" i="4"/>
  <c r="K113" i="4"/>
  <c r="D113" i="4" s="1"/>
  <c r="E113" i="4" s="1"/>
  <c r="G113" i="4" s="1"/>
  <c r="J113" i="4"/>
  <c r="C113" i="4"/>
  <c r="B113" i="4"/>
  <c r="A113" i="4" s="1"/>
  <c r="H75" i="4"/>
  <c r="E75" i="4"/>
  <c r="G75" i="4" s="1"/>
  <c r="I75" i="4" s="1"/>
  <c r="C75" i="4"/>
  <c r="A75" i="4"/>
  <c r="H74" i="4"/>
  <c r="C74" i="4"/>
  <c r="A74" i="4"/>
  <c r="H73" i="4"/>
  <c r="I73" i="4" s="1"/>
  <c r="G73" i="4"/>
  <c r="E73" i="4"/>
  <c r="C73" i="4"/>
  <c r="A73" i="4"/>
  <c r="H33" i="4"/>
  <c r="G33" i="4"/>
  <c r="I33" i="4" s="1"/>
  <c r="F33" i="4"/>
  <c r="A33" i="4"/>
  <c r="J31" i="4"/>
  <c r="H31" i="4"/>
  <c r="F31" i="4"/>
  <c r="E31" i="4"/>
  <c r="A31" i="4"/>
  <c r="J30" i="4"/>
  <c r="H30" i="4"/>
  <c r="F30" i="4"/>
  <c r="E30" i="4"/>
  <c r="A30" i="4"/>
  <c r="J29" i="4"/>
  <c r="H29" i="4"/>
  <c r="F29" i="4"/>
  <c r="D29" i="4"/>
  <c r="G29" i="4" s="1"/>
  <c r="I29" i="4" s="1"/>
  <c r="A29" i="4"/>
  <c r="H28" i="4"/>
  <c r="F28" i="4"/>
  <c r="A28" i="4"/>
  <c r="J26" i="4"/>
  <c r="D26" i="4" s="1"/>
  <c r="G26" i="4" s="1"/>
  <c r="I26" i="4" s="1"/>
  <c r="H26" i="4"/>
  <c r="F26" i="4"/>
  <c r="A26" i="4"/>
  <c r="H24" i="4"/>
  <c r="I24" i="4" s="1"/>
  <c r="G24" i="4"/>
  <c r="F24" i="4"/>
  <c r="E24" i="4"/>
  <c r="A24" i="4"/>
  <c r="H23" i="4"/>
  <c r="F23" i="4"/>
  <c r="G23" i="4" s="1"/>
  <c r="I23" i="4" s="1"/>
  <c r="A23" i="4"/>
  <c r="J21" i="4"/>
  <c r="H21" i="4"/>
  <c r="F21" i="4"/>
  <c r="D21" i="4"/>
  <c r="G21" i="4" s="1"/>
  <c r="I21" i="4" s="1"/>
  <c r="A21" i="4"/>
  <c r="H20" i="4"/>
  <c r="F20" i="4"/>
  <c r="E20" i="4"/>
  <c r="A20" i="4"/>
  <c r="H19" i="4"/>
  <c r="F19" i="4"/>
  <c r="A19" i="4"/>
  <c r="J18" i="4"/>
  <c r="D18" i="4" s="1"/>
  <c r="G18" i="4" s="1"/>
  <c r="I18" i="4" s="1"/>
  <c r="H18" i="4"/>
  <c r="F18" i="4"/>
  <c r="A18" i="4"/>
  <c r="J16" i="4"/>
  <c r="D16" i="4" s="1"/>
  <c r="G16" i="4" s="1"/>
  <c r="I16" i="4" s="1"/>
  <c r="H16" i="4"/>
  <c r="F16" i="4"/>
  <c r="A16" i="4"/>
  <c r="J15" i="4"/>
  <c r="D15" i="4" s="1"/>
  <c r="G15" i="4" s="1"/>
  <c r="I15" i="4" s="1"/>
  <c r="H15" i="4"/>
  <c r="F15" i="4"/>
  <c r="A15" i="4"/>
  <c r="J14" i="4"/>
  <c r="H14" i="4"/>
  <c r="G14" i="4"/>
  <c r="F14" i="4"/>
  <c r="D14" i="4"/>
  <c r="A14" i="4"/>
  <c r="C11" i="4"/>
  <c r="D28" i="4" s="1"/>
  <c r="G28" i="4" s="1"/>
  <c r="I28" i="4" s="1"/>
  <c r="C10" i="4"/>
  <c r="D31" i="4" s="1"/>
  <c r="G31" i="4" s="1"/>
  <c r="I31" i="4" s="1"/>
  <c r="C8" i="4"/>
  <c r="E166" i="4" s="1"/>
  <c r="G166" i="4" s="1"/>
  <c r="I166" i="4" s="1"/>
  <c r="I165" i="4" s="1"/>
  <c r="F7" i="4"/>
  <c r="G11" i="2" s="1"/>
  <c r="G6" i="4"/>
  <c r="G5" i="4"/>
  <c r="F5" i="4"/>
  <c r="G186" i="4" s="1"/>
  <c r="A2" i="4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H187" i="3"/>
  <c r="I186" i="3"/>
  <c r="H186" i="3"/>
  <c r="G186" i="3"/>
  <c r="A167" i="3"/>
  <c r="H166" i="3"/>
  <c r="E166" i="3"/>
  <c r="G166" i="3" s="1"/>
  <c r="I166" i="3" s="1"/>
  <c r="I165" i="3" s="1"/>
  <c r="C166" i="3"/>
  <c r="A166" i="3"/>
  <c r="A147" i="3"/>
  <c r="A146" i="3"/>
  <c r="A145" i="3"/>
  <c r="A144" i="3"/>
  <c r="A143" i="3"/>
  <c r="A142" i="3"/>
  <c r="A141" i="3"/>
  <c r="A140" i="3"/>
  <c r="A139" i="3"/>
  <c r="A138" i="3"/>
  <c r="H137" i="3"/>
  <c r="G137" i="3"/>
  <c r="I137" i="3" s="1"/>
  <c r="I136" i="3" s="1"/>
  <c r="C137" i="3"/>
  <c r="B137" i="3"/>
  <c r="A137" i="3"/>
  <c r="H130" i="3"/>
  <c r="A130" i="3"/>
  <c r="I129" i="3"/>
  <c r="H129" i="3"/>
  <c r="G129" i="3"/>
  <c r="A129" i="3"/>
  <c r="H128" i="3"/>
  <c r="H127" i="3"/>
  <c r="A127" i="3"/>
  <c r="H125" i="3"/>
  <c r="G125" i="3"/>
  <c r="I125" i="3" s="1"/>
  <c r="A125" i="3"/>
  <c r="I124" i="3"/>
  <c r="H124" i="3"/>
  <c r="G124" i="3"/>
  <c r="A124" i="3"/>
  <c r="H123" i="3"/>
  <c r="G123" i="3"/>
  <c r="I123" i="3" s="1"/>
  <c r="A123" i="3"/>
  <c r="H122" i="3"/>
  <c r="A122" i="3"/>
  <c r="H121" i="3"/>
  <c r="A121" i="3"/>
  <c r="A120" i="3"/>
  <c r="A119" i="3"/>
  <c r="A118" i="3"/>
  <c r="A117" i="3"/>
  <c r="K113" i="3"/>
  <c r="J113" i="3"/>
  <c r="C113" i="3" s="1"/>
  <c r="H113" i="3"/>
  <c r="D113" i="3"/>
  <c r="E113" i="3" s="1"/>
  <c r="G113" i="3" s="1"/>
  <c r="B113" i="3"/>
  <c r="A113" i="3"/>
  <c r="A76" i="3"/>
  <c r="I75" i="3"/>
  <c r="H75" i="3"/>
  <c r="G75" i="3"/>
  <c r="E75" i="3"/>
  <c r="C75" i="3"/>
  <c r="A75" i="3"/>
  <c r="H74" i="3"/>
  <c r="C74" i="3"/>
  <c r="A74" i="3"/>
  <c r="H73" i="3"/>
  <c r="E73" i="3"/>
  <c r="G73" i="3" s="1"/>
  <c r="I73" i="3" s="1"/>
  <c r="C73" i="3"/>
  <c r="A73" i="3"/>
  <c r="H24" i="3"/>
  <c r="F24" i="3"/>
  <c r="E24" i="3"/>
  <c r="G24" i="3" s="1"/>
  <c r="I24" i="3" s="1"/>
  <c r="A24" i="3"/>
  <c r="H23" i="3"/>
  <c r="I23" i="3" s="1"/>
  <c r="G23" i="3"/>
  <c r="F23" i="3"/>
  <c r="A23" i="3"/>
  <c r="J21" i="3"/>
  <c r="D21" i="3" s="1"/>
  <c r="G21" i="3" s="1"/>
  <c r="I21" i="3" s="1"/>
  <c r="H21" i="3"/>
  <c r="F21" i="3"/>
  <c r="A21" i="3"/>
  <c r="J20" i="3"/>
  <c r="D20" i="3" s="1"/>
  <c r="G20" i="3" s="1"/>
  <c r="I20" i="3" s="1"/>
  <c r="H20" i="3"/>
  <c r="F20" i="3"/>
  <c r="E20" i="3"/>
  <c r="A20" i="3"/>
  <c r="J19" i="3"/>
  <c r="H19" i="3"/>
  <c r="F19" i="3"/>
  <c r="D19" i="3"/>
  <c r="G19" i="3" s="1"/>
  <c r="I19" i="3" s="1"/>
  <c r="A19" i="3"/>
  <c r="J18" i="3"/>
  <c r="H18" i="3"/>
  <c r="F18" i="3"/>
  <c r="G18" i="3" s="1"/>
  <c r="I18" i="3" s="1"/>
  <c r="D18" i="3"/>
  <c r="A18" i="3"/>
  <c r="J16" i="3"/>
  <c r="H16" i="3"/>
  <c r="F16" i="3"/>
  <c r="D16" i="3"/>
  <c r="G16" i="3" s="1"/>
  <c r="I16" i="3" s="1"/>
  <c r="A16" i="3"/>
  <c r="J15" i="3"/>
  <c r="D15" i="3" s="1"/>
  <c r="G15" i="3" s="1"/>
  <c r="I15" i="3" s="1"/>
  <c r="H15" i="3"/>
  <c r="F15" i="3"/>
  <c r="A15" i="3"/>
  <c r="J14" i="3"/>
  <c r="D14" i="3" s="1"/>
  <c r="G14" i="3" s="1"/>
  <c r="H14" i="3"/>
  <c r="F14" i="3"/>
  <c r="A14" i="3"/>
  <c r="F7" i="3"/>
  <c r="G10" i="2" s="1"/>
  <c r="G6" i="3"/>
  <c r="G5" i="3"/>
  <c r="F5" i="3"/>
  <c r="G130" i="3" s="1"/>
  <c r="I130" i="3" s="1"/>
  <c r="A2" i="3"/>
  <c r="A55" i="2"/>
  <c r="I51" i="2"/>
  <c r="G51" i="2"/>
  <c r="E51" i="2"/>
  <c r="D51" i="2"/>
  <c r="H51" i="2" s="1"/>
  <c r="J51" i="2" s="1"/>
  <c r="B51" i="2"/>
  <c r="I50" i="2"/>
  <c r="G50" i="2"/>
  <c r="E50" i="2"/>
  <c r="D50" i="2"/>
  <c r="H50" i="2" s="1"/>
  <c r="J50" i="2" s="1"/>
  <c r="B50" i="2"/>
  <c r="I49" i="2"/>
  <c r="G49" i="2"/>
  <c r="E49" i="2"/>
  <c r="D49" i="2"/>
  <c r="H49" i="2" s="1"/>
  <c r="J49" i="2" s="1"/>
  <c r="B49" i="2"/>
  <c r="I48" i="2"/>
  <c r="G48" i="2"/>
  <c r="E48" i="2"/>
  <c r="D48" i="2"/>
  <c r="H48" i="2" s="1"/>
  <c r="J48" i="2" s="1"/>
  <c r="B48" i="2"/>
  <c r="I47" i="2"/>
  <c r="G47" i="2"/>
  <c r="E47" i="2"/>
  <c r="D47" i="2"/>
  <c r="H47" i="2" s="1"/>
  <c r="J47" i="2" s="1"/>
  <c r="B47" i="2"/>
  <c r="I46" i="2"/>
  <c r="G46" i="2"/>
  <c r="E46" i="2"/>
  <c r="D46" i="2"/>
  <c r="H46" i="2" s="1"/>
  <c r="J46" i="2" s="1"/>
  <c r="B46" i="2"/>
  <c r="I45" i="2"/>
  <c r="G45" i="2"/>
  <c r="E45" i="2"/>
  <c r="D45" i="2"/>
  <c r="H45" i="2" s="1"/>
  <c r="B45" i="2"/>
  <c r="A45" i="2"/>
  <c r="A46" i="2" s="1"/>
  <c r="A47" i="2" s="1"/>
  <c r="A48" i="2" s="1"/>
  <c r="A49" i="2" s="1"/>
  <c r="A50" i="2" s="1"/>
  <c r="A51" i="2" s="1"/>
  <c r="I43" i="2"/>
  <c r="G43" i="2"/>
  <c r="H43" i="2" s="1"/>
  <c r="J43" i="2" s="1"/>
  <c r="E43" i="2"/>
  <c r="D43" i="2"/>
  <c r="B43" i="2"/>
  <c r="I42" i="2"/>
  <c r="G42" i="2"/>
  <c r="H42" i="2" s="1"/>
  <c r="J42" i="2" s="1"/>
  <c r="E42" i="2"/>
  <c r="D42" i="2"/>
  <c r="B42" i="2"/>
  <c r="I41" i="2"/>
  <c r="G41" i="2"/>
  <c r="H41" i="2" s="1"/>
  <c r="J41" i="2" s="1"/>
  <c r="E41" i="2"/>
  <c r="D41" i="2"/>
  <c r="B41" i="2"/>
  <c r="I40" i="2"/>
  <c r="G40" i="2"/>
  <c r="H40" i="2" s="1"/>
  <c r="J40" i="2" s="1"/>
  <c r="E40" i="2"/>
  <c r="D40" i="2"/>
  <c r="B40" i="2"/>
  <c r="I39" i="2"/>
  <c r="G39" i="2"/>
  <c r="H39" i="2" s="1"/>
  <c r="J39" i="2" s="1"/>
  <c r="E39" i="2"/>
  <c r="D39" i="2"/>
  <c r="B39" i="2"/>
  <c r="I38" i="2"/>
  <c r="G38" i="2"/>
  <c r="H38" i="2" s="1"/>
  <c r="J38" i="2" s="1"/>
  <c r="E38" i="2"/>
  <c r="D38" i="2"/>
  <c r="B38" i="2"/>
  <c r="I37" i="2"/>
  <c r="G37" i="2"/>
  <c r="H37" i="2" s="1"/>
  <c r="J37" i="2" s="1"/>
  <c r="E37" i="2"/>
  <c r="D37" i="2"/>
  <c r="B37" i="2"/>
  <c r="I36" i="2"/>
  <c r="G36" i="2"/>
  <c r="H36" i="2" s="1"/>
  <c r="J36" i="2" s="1"/>
  <c r="E36" i="2"/>
  <c r="D36" i="2"/>
  <c r="B36" i="2"/>
  <c r="I35" i="2"/>
  <c r="G35" i="2"/>
  <c r="H35" i="2" s="1"/>
  <c r="J35" i="2" s="1"/>
  <c r="E35" i="2"/>
  <c r="D35" i="2"/>
  <c r="B35" i="2"/>
  <c r="I34" i="2"/>
  <c r="G34" i="2"/>
  <c r="H34" i="2" s="1"/>
  <c r="J34" i="2" s="1"/>
  <c r="E34" i="2"/>
  <c r="D34" i="2"/>
  <c r="B34" i="2"/>
  <c r="I33" i="2"/>
  <c r="G33" i="2"/>
  <c r="H33" i="2" s="1"/>
  <c r="J33" i="2" s="1"/>
  <c r="E33" i="2"/>
  <c r="D33" i="2"/>
  <c r="B33" i="2"/>
  <c r="I32" i="2"/>
  <c r="G32" i="2"/>
  <c r="H32" i="2" s="1"/>
  <c r="J32" i="2" s="1"/>
  <c r="E32" i="2"/>
  <c r="D32" i="2"/>
  <c r="B32" i="2"/>
  <c r="I31" i="2"/>
  <c r="G31" i="2"/>
  <c r="H31" i="2" s="1"/>
  <c r="J31" i="2" s="1"/>
  <c r="E31" i="2"/>
  <c r="D31" i="2"/>
  <c r="B31" i="2"/>
  <c r="I30" i="2"/>
  <c r="G30" i="2"/>
  <c r="H30" i="2" s="1"/>
  <c r="J30" i="2" s="1"/>
  <c r="E30" i="2"/>
  <c r="D30" i="2"/>
  <c r="B30" i="2"/>
  <c r="I29" i="2"/>
  <c r="G29" i="2"/>
  <c r="H29" i="2" s="1"/>
  <c r="J29" i="2" s="1"/>
  <c r="E29" i="2"/>
  <c r="D29" i="2"/>
  <c r="B29" i="2"/>
  <c r="I28" i="2"/>
  <c r="G28" i="2"/>
  <c r="H28" i="2" s="1"/>
  <c r="J28" i="2" s="1"/>
  <c r="E28" i="2"/>
  <c r="D28" i="2"/>
  <c r="B28" i="2"/>
  <c r="I27" i="2"/>
  <c r="G27" i="2"/>
  <c r="H27" i="2" s="1"/>
  <c r="J27" i="2" s="1"/>
  <c r="E27" i="2"/>
  <c r="D27" i="2"/>
  <c r="B27" i="2"/>
  <c r="I26" i="2"/>
  <c r="G26" i="2"/>
  <c r="H26" i="2" s="1"/>
  <c r="J26" i="2" s="1"/>
  <c r="E26" i="2"/>
  <c r="D26" i="2"/>
  <c r="B26" i="2"/>
  <c r="I25" i="2"/>
  <c r="G25" i="2"/>
  <c r="H25" i="2" s="1"/>
  <c r="J25" i="2" s="1"/>
  <c r="E25" i="2"/>
  <c r="D25" i="2"/>
  <c r="B25" i="2"/>
  <c r="I24" i="2"/>
  <c r="G24" i="2"/>
  <c r="H24" i="2" s="1"/>
  <c r="J24" i="2" s="1"/>
  <c r="E24" i="2"/>
  <c r="D24" i="2"/>
  <c r="B24" i="2"/>
  <c r="I23" i="2"/>
  <c r="G23" i="2"/>
  <c r="H23" i="2" s="1"/>
  <c r="J23" i="2" s="1"/>
  <c r="E23" i="2"/>
  <c r="D23" i="2"/>
  <c r="B23" i="2"/>
  <c r="I22" i="2"/>
  <c r="G22" i="2"/>
  <c r="H22" i="2" s="1"/>
  <c r="J22" i="2" s="1"/>
  <c r="E22" i="2"/>
  <c r="D22" i="2"/>
  <c r="B22" i="2"/>
  <c r="I21" i="2"/>
  <c r="G21" i="2"/>
  <c r="H21" i="2" s="1"/>
  <c r="J21" i="2" s="1"/>
  <c r="E21" i="2"/>
  <c r="D21" i="2"/>
  <c r="B21" i="2"/>
  <c r="I20" i="2"/>
  <c r="G20" i="2"/>
  <c r="H20" i="2" s="1"/>
  <c r="E20" i="2"/>
  <c r="D20" i="2"/>
  <c r="B20" i="2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I18" i="2"/>
  <c r="G18" i="2"/>
  <c r="E18" i="2"/>
  <c r="D18" i="2"/>
  <c r="H18" i="2" s="1"/>
  <c r="J18" i="2" s="1"/>
  <c r="B18" i="2"/>
  <c r="I17" i="2"/>
  <c r="G17" i="2"/>
  <c r="E17" i="2"/>
  <c r="D17" i="2"/>
  <c r="H17" i="2" s="1"/>
  <c r="J17" i="2" s="1"/>
  <c r="B17" i="2"/>
  <c r="I16" i="2"/>
  <c r="G16" i="2"/>
  <c r="E16" i="2"/>
  <c r="D16" i="2"/>
  <c r="H16" i="2" s="1"/>
  <c r="J16" i="2" s="1"/>
  <c r="B16" i="2"/>
  <c r="I15" i="2"/>
  <c r="G15" i="2"/>
  <c r="E15" i="2"/>
  <c r="D15" i="2"/>
  <c r="H15" i="2" s="1"/>
  <c r="B15" i="2"/>
  <c r="A15" i="2"/>
  <c r="A16" i="2" s="1"/>
  <c r="A17" i="2" s="1"/>
  <c r="A18" i="2" s="1"/>
  <c r="I13" i="2"/>
  <c r="G13" i="2"/>
  <c r="E13" i="2"/>
  <c r="H13" i="2" s="1"/>
  <c r="J13" i="2" s="1"/>
  <c r="D13" i="2"/>
  <c r="B13" i="2"/>
  <c r="E12" i="2"/>
  <c r="H12" i="2" s="1"/>
  <c r="D12" i="2"/>
  <c r="B12" i="2"/>
  <c r="E11" i="2"/>
  <c r="H11" i="2" s="1"/>
  <c r="D11" i="2"/>
  <c r="B11" i="2"/>
  <c r="E10" i="2"/>
  <c r="H10" i="2" s="1"/>
  <c r="D10" i="2"/>
  <c r="B10" i="2"/>
  <c r="A10" i="2"/>
  <c r="A11" i="2" s="1"/>
  <c r="A12" i="2" s="1"/>
  <c r="A13" i="2" s="1"/>
  <c r="J6" i="2"/>
  <c r="H6" i="2"/>
  <c r="F126" i="1"/>
  <c r="F125" i="1"/>
  <c r="F124" i="1"/>
  <c r="F122" i="1"/>
  <c r="F118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7" i="1"/>
  <c r="F96" i="1"/>
  <c r="F95" i="1"/>
  <c r="F94" i="1"/>
  <c r="F93" i="1"/>
  <c r="F92" i="1"/>
  <c r="F91" i="1"/>
  <c r="F90" i="1"/>
  <c r="G89" i="1"/>
  <c r="E89" i="1"/>
  <c r="F89" i="1" s="1"/>
  <c r="F88" i="1"/>
  <c r="D88" i="1"/>
  <c r="C88" i="1"/>
  <c r="F87" i="1"/>
  <c r="D87" i="1"/>
  <c r="C87" i="1"/>
  <c r="F86" i="1"/>
  <c r="D86" i="1"/>
  <c r="C86" i="1"/>
  <c r="F85" i="1"/>
  <c r="D85" i="1"/>
  <c r="C85" i="1"/>
  <c r="G84" i="1"/>
  <c r="E84" i="1"/>
  <c r="F84" i="1" s="1"/>
  <c r="F83" i="1"/>
  <c r="D83" i="1"/>
  <c r="C83" i="1"/>
  <c r="F82" i="1"/>
  <c r="D82" i="1"/>
  <c r="C82" i="1"/>
  <c r="G81" i="1"/>
  <c r="E81" i="1"/>
  <c r="F81" i="1" s="1"/>
  <c r="F80" i="1"/>
  <c r="D80" i="1"/>
  <c r="C80" i="1"/>
  <c r="F79" i="1"/>
  <c r="D79" i="1"/>
  <c r="C79" i="1"/>
  <c r="F78" i="1"/>
  <c r="D78" i="1"/>
  <c r="C78" i="1"/>
  <c r="F77" i="1"/>
  <c r="D77" i="1"/>
  <c r="C77" i="1"/>
  <c r="F76" i="1"/>
  <c r="D76" i="1"/>
  <c r="C76" i="1"/>
  <c r="F75" i="1"/>
  <c r="D75" i="1"/>
  <c r="C75" i="1"/>
  <c r="F74" i="1"/>
  <c r="D74" i="1"/>
  <c r="C74" i="1"/>
  <c r="F73" i="1"/>
  <c r="D73" i="1"/>
  <c r="C73" i="1"/>
  <c r="F72" i="1"/>
  <c r="D72" i="1"/>
  <c r="C72" i="1"/>
  <c r="F71" i="1"/>
  <c r="D71" i="1"/>
  <c r="C71" i="1"/>
  <c r="F70" i="1"/>
  <c r="D70" i="1"/>
  <c r="C70" i="1"/>
  <c r="F69" i="1"/>
  <c r="D69" i="1"/>
  <c r="C69" i="1"/>
  <c r="F68" i="1"/>
  <c r="D68" i="1"/>
  <c r="C68" i="1"/>
  <c r="F67" i="1"/>
  <c r="D67" i="1"/>
  <c r="C67" i="1"/>
  <c r="F66" i="1"/>
  <c r="D66" i="1"/>
  <c r="C66" i="1"/>
  <c r="G65" i="1"/>
  <c r="E65" i="1"/>
  <c r="F65" i="1" s="1"/>
  <c r="F64" i="1"/>
  <c r="C64" i="1"/>
  <c r="F63" i="1"/>
  <c r="C63" i="1"/>
  <c r="F62" i="1"/>
  <c r="C62" i="1"/>
  <c r="F61" i="1"/>
  <c r="C61" i="1"/>
  <c r="F60" i="1"/>
  <c r="C60" i="1"/>
  <c r="F59" i="1"/>
  <c r="C59" i="1"/>
  <c r="G58" i="1"/>
  <c r="E58" i="1"/>
  <c r="F58" i="1" s="1"/>
  <c r="F57" i="1"/>
  <c r="C57" i="1"/>
  <c r="F56" i="1"/>
  <c r="C56" i="1"/>
  <c r="F55" i="1"/>
  <c r="C55" i="1"/>
  <c r="F54" i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G24" i="1"/>
  <c r="E24" i="1"/>
  <c r="F24" i="1" s="1"/>
  <c r="F23" i="1"/>
  <c r="F22" i="1"/>
  <c r="F21" i="1"/>
  <c r="F20" i="1"/>
  <c r="G19" i="1"/>
  <c r="F19" i="1" s="1"/>
  <c r="E19" i="1"/>
  <c r="F18" i="1"/>
  <c r="F17" i="1"/>
  <c r="F16" i="1"/>
  <c r="F15" i="1"/>
  <c r="G14" i="1"/>
  <c r="F14" i="1"/>
  <c r="E14" i="1"/>
  <c r="F13" i="1"/>
  <c r="F12" i="1"/>
  <c r="F11" i="1"/>
  <c r="G10" i="1"/>
  <c r="F10" i="1"/>
  <c r="E10" i="1"/>
  <c r="E9" i="1" s="1"/>
  <c r="A3" i="1"/>
  <c r="A2" i="1"/>
  <c r="I14" i="5" l="1"/>
  <c r="E74" i="5"/>
  <c r="G74" i="5" s="1"/>
  <c r="I74" i="5" s="1"/>
  <c r="E114" i="5"/>
  <c r="G114" i="5" s="1"/>
  <c r="I114" i="5" s="1"/>
  <c r="I72" i="5"/>
  <c r="H9" i="2"/>
  <c r="J45" i="2"/>
  <c r="J44" i="2" s="1"/>
  <c r="H44" i="2"/>
  <c r="G121" i="3"/>
  <c r="I113" i="3"/>
  <c r="H19" i="2"/>
  <c r="J20" i="2"/>
  <c r="J19" i="2" s="1"/>
  <c r="I186" i="4"/>
  <c r="J15" i="2"/>
  <c r="J14" i="2" s="1"/>
  <c r="H14" i="2"/>
  <c r="I72" i="3"/>
  <c r="G13" i="3"/>
  <c r="I14" i="3"/>
  <c r="I13" i="3" s="1"/>
  <c r="E113" i="5"/>
  <c r="G113" i="5" s="1"/>
  <c r="C114" i="4"/>
  <c r="G128" i="5"/>
  <c r="I128" i="5" s="1"/>
  <c r="I126" i="5" s="1"/>
  <c r="G130" i="5"/>
  <c r="I130" i="5" s="1"/>
  <c r="H113" i="4"/>
  <c r="I113" i="4" s="1"/>
  <c r="D114" i="4"/>
  <c r="E114" i="4" s="1"/>
  <c r="G114" i="4" s="1"/>
  <c r="I114" i="4" s="1"/>
  <c r="G186" i="5"/>
  <c r="I186" i="5" s="1"/>
  <c r="G129" i="4"/>
  <c r="I129" i="4" s="1"/>
  <c r="G187" i="4"/>
  <c r="I187" i="4" s="1"/>
  <c r="E74" i="3"/>
  <c r="G74" i="3" s="1"/>
  <c r="I74" i="3" s="1"/>
  <c r="G127" i="3"/>
  <c r="I127" i="3" s="1"/>
  <c r="J19" i="4"/>
  <c r="D19" i="4" s="1"/>
  <c r="G19" i="4" s="1"/>
  <c r="I19" i="4" s="1"/>
  <c r="J20" i="4"/>
  <c r="D20" i="4" s="1"/>
  <c r="G20" i="4" s="1"/>
  <c r="I20" i="4" s="1"/>
  <c r="D30" i="4"/>
  <c r="G30" i="4" s="1"/>
  <c r="I30" i="4" s="1"/>
  <c r="G127" i="4"/>
  <c r="I127" i="4" s="1"/>
  <c r="I126" i="4" s="1"/>
  <c r="D15" i="5"/>
  <c r="G15" i="5" s="1"/>
  <c r="I15" i="5" s="1"/>
  <c r="G129" i="5"/>
  <c r="I129" i="5" s="1"/>
  <c r="G187" i="5"/>
  <c r="I187" i="5" s="1"/>
  <c r="G187" i="3"/>
  <c r="I187" i="3" s="1"/>
  <c r="E166" i="5"/>
  <c r="G166" i="5" s="1"/>
  <c r="I166" i="5" s="1"/>
  <c r="I165" i="5" s="1"/>
  <c r="G128" i="3"/>
  <c r="I128" i="3" s="1"/>
  <c r="I14" i="4"/>
  <c r="G128" i="4"/>
  <c r="I128" i="4" s="1"/>
  <c r="G130" i="4"/>
  <c r="I130" i="4" s="1"/>
  <c r="I188" i="3" l="1"/>
  <c r="F6" i="3" s="1"/>
  <c r="F4" i="3" s="1"/>
  <c r="I13" i="4"/>
  <c r="G121" i="4"/>
  <c r="H52" i="2"/>
  <c r="I126" i="3"/>
  <c r="I13" i="5"/>
  <c r="I112" i="3"/>
  <c r="G13" i="5"/>
  <c r="I113" i="5"/>
  <c r="G121" i="5"/>
  <c r="G122" i="3"/>
  <c r="I122" i="3" s="1"/>
  <c r="F8" i="3"/>
  <c r="I121" i="3"/>
  <c r="E74" i="4"/>
  <c r="G74" i="4" s="1"/>
  <c r="I74" i="4" s="1"/>
  <c r="I72" i="4" s="1"/>
  <c r="G13" i="4"/>
  <c r="I10" i="2" l="1"/>
  <c r="J10" i="2" s="1"/>
  <c r="F2" i="3"/>
  <c r="F1" i="3"/>
  <c r="E1" i="3"/>
  <c r="I188" i="5"/>
  <c r="G1" i="3"/>
  <c r="H1" i="3"/>
  <c r="H2" i="3"/>
  <c r="F8" i="4"/>
  <c r="G122" i="4"/>
  <c r="I122" i="4" s="1"/>
  <c r="I121" i="4"/>
  <c r="F8" i="5"/>
  <c r="G122" i="5"/>
  <c r="I122" i="5" s="1"/>
  <c r="I121" i="5"/>
  <c r="I112" i="5"/>
  <c r="E2" i="3"/>
  <c r="G2" i="3" s="1"/>
  <c r="F6" i="5" l="1"/>
  <c r="F4" i="5" s="1"/>
  <c r="H2" i="5" s="1"/>
  <c r="H1" i="5"/>
  <c r="E2" i="5"/>
  <c r="F1" i="5"/>
  <c r="F2" i="5"/>
  <c r="I112" i="4"/>
  <c r="E1" i="5"/>
  <c r="G1" i="5"/>
  <c r="I188" i="4" l="1"/>
  <c r="I12" i="2"/>
  <c r="J12" i="2" s="1"/>
  <c r="G2" i="5"/>
  <c r="F6" i="4" l="1"/>
  <c r="F4" i="4" s="1"/>
  <c r="H1" i="4"/>
  <c r="H2" i="4"/>
  <c r="G1" i="4"/>
  <c r="E2" i="4"/>
  <c r="E1" i="4"/>
  <c r="F2" i="4"/>
  <c r="F1" i="4"/>
  <c r="I11" i="2" l="1"/>
  <c r="J11" i="2" s="1"/>
  <c r="J9" i="2" s="1"/>
  <c r="J52" i="2" s="1"/>
  <c r="G2" i="4"/>
  <c r="G5" i="1" l="1"/>
  <c r="I52" i="2"/>
  <c r="G129" i="1" l="1"/>
  <c r="G124" i="1"/>
  <c r="G125" i="1"/>
  <c r="G126" i="1"/>
  <c r="G122" i="1"/>
  <c r="G121" i="1" s="1"/>
  <c r="G123" i="1" l="1"/>
  <c r="G120" i="1" s="1"/>
  <c r="G9" i="1" s="1"/>
  <c r="G130" i="1" l="1"/>
  <c r="G128" i="1"/>
  <c r="H128" i="1" s="1"/>
  <c r="G131" i="1" l="1"/>
  <c r="G132" i="1" s="1"/>
  <c r="G133" i="1" s="1"/>
</calcChain>
</file>

<file path=xl/sharedStrings.xml><?xml version="1.0" encoding="utf-8"?>
<sst xmlns="http://schemas.openxmlformats.org/spreadsheetml/2006/main" count="553" uniqueCount="254">
  <si>
    <t>BẢNG DỰ TRÙ CHI PHÍ TÀI CHÍNH ĐẦU DỰ ÁN</t>
  </si>
  <si>
    <t>STT</t>
  </si>
  <si>
    <t>DIỄN GIẢI</t>
  </si>
  <si>
    <t>TÊN CHI TIẾT VẬT LIỆU</t>
  </si>
  <si>
    <t>ĐƠN 
VỊ</t>
  </si>
  <si>
    <t>KHỐI
LƯỢNG</t>
  </si>
  <si>
    <t>ĐƠN GIÁ 
(VNĐ/ĐƠN VỊ)</t>
  </si>
  <si>
    <t>TỔNG TIỀN
(VNĐ)</t>
  </si>
  <si>
    <t>GHI CHÚ</t>
  </si>
  <si>
    <t>A</t>
  </si>
  <si>
    <t xml:space="preserve">DOANH THU (trước VAT ) </t>
  </si>
  <si>
    <t>B</t>
  </si>
  <si>
    <t>TỔNG CHI PHÍ</t>
  </si>
  <si>
    <t>B1.</t>
  </si>
  <si>
    <t>CHI PHÍ GIA CÔNG</t>
  </si>
  <si>
    <t>D.1 NHÂN CÔNG GIA CÔNG (CỬA ĐI LÙA)</t>
  </si>
  <si>
    <t>m2</t>
  </si>
  <si>
    <t>D.1 NHÂN CÔNG GIA CÔNG (CỬA ĐI MỞ QUAY)</t>
  </si>
  <si>
    <t>D.1 NHÂN CÔNG GIA CÔNG (CỬA SỔ LÙA)</t>
  </si>
  <si>
    <t>B2.</t>
  </si>
  <si>
    <t>CHI PHÍ LẮP ĐẶT</t>
  </si>
  <si>
    <t>D.3 NHÂN CÔNG LẮP ĐẶT (CỬA ĐI LÙA)</t>
  </si>
  <si>
    <t>D.3 NHÂN CÔNG LẮP ĐẶT (CỬA ĐI MỞ QUAY)</t>
  </si>
  <si>
    <t>D.3 NHÂN CÔNG LẮP ĐẶT (CỬA SỔ LÙA)</t>
  </si>
  <si>
    <t>D.3 NHÂN CÔNG LẮP ĐẶT (VÁCH KÍNH PHÒNG TẮM)</t>
  </si>
  <si>
    <t>B3.</t>
  </si>
  <si>
    <t>NHÂN CÔNG VỆ SINH</t>
  </si>
  <si>
    <t>D.4 CHI PHÍ VỆ SINH (CỬA ĐI LÙA)</t>
  </si>
  <si>
    <t>D.4 CHI PHÍ VỆ SINH (CỬA ĐI MỞ QUAY)</t>
  </si>
  <si>
    <t>D.4 CHI PHÍ VỆ SINH (CỬA SỔ LÙA)</t>
  </si>
  <si>
    <t>D.4 CHI PHÍ VỆ SINH (VÁCH KÍNH PHÒNG TẮM)</t>
  </si>
  <si>
    <t>B4.</t>
  </si>
  <si>
    <t>CHI PHÍ NHÔM</t>
  </si>
  <si>
    <t>ALWS-BK007-1</t>
  </si>
  <si>
    <t>Kg</t>
  </si>
  <si>
    <t>ALWS-BK010</t>
  </si>
  <si>
    <t>F347</t>
  </si>
  <si>
    <t>WSAD-5007</t>
  </si>
  <si>
    <t>WSAD-5015</t>
  </si>
  <si>
    <t>WSAD-5016</t>
  </si>
  <si>
    <t>WSAD-5018</t>
  </si>
  <si>
    <t>WSAD-5019</t>
  </si>
  <si>
    <t>WSAD-5020</t>
  </si>
  <si>
    <t>WSAW-5001</t>
  </si>
  <si>
    <t>WSAW-5002</t>
  </si>
  <si>
    <t>WSAW-5003</t>
  </si>
  <si>
    <t>WSAW-5005</t>
  </si>
  <si>
    <t>WSAW-5006</t>
  </si>
  <si>
    <t>WSAW-5007</t>
  </si>
  <si>
    <t>WSAW-5009</t>
  </si>
  <si>
    <t>WSAW-5010</t>
  </si>
  <si>
    <t>WSAW-5011</t>
  </si>
  <si>
    <t>WSAW-5012</t>
  </si>
  <si>
    <t>WSAW-5014</t>
  </si>
  <si>
    <t>WSBK-011</t>
  </si>
  <si>
    <t>WSSL-06501</t>
  </si>
  <si>
    <t>WSSL-06502</t>
  </si>
  <si>
    <t>WSSL-06503</t>
  </si>
  <si>
    <t>WSSL-06504</t>
  </si>
  <si>
    <t>WSSL-06505</t>
  </si>
  <si>
    <t>WSSL-06506</t>
  </si>
  <si>
    <t>WSSL-06507</t>
  </si>
  <si>
    <t>WSSL-06508</t>
  </si>
  <si>
    <t>WSSL-06510</t>
  </si>
  <si>
    <t>WSSL-06511</t>
  </si>
  <si>
    <t>WSSL-06512</t>
  </si>
  <si>
    <t>XF01687</t>
  </si>
  <si>
    <t>B5.</t>
  </si>
  <si>
    <t>CHI PHÍ KÍNH</t>
  </si>
  <si>
    <t>bk</t>
  </si>
  <si>
    <t>k10cl</t>
  </si>
  <si>
    <t>k8cl</t>
  </si>
  <si>
    <t>khoanlo</t>
  </si>
  <si>
    <t>khoet</t>
  </si>
  <si>
    <t>maibong</t>
  </si>
  <si>
    <t>B6.</t>
  </si>
  <si>
    <t>PHỤ KIỆN NHÔM KÍNH</t>
  </si>
  <si>
    <t>VKT_BCL</t>
  </si>
  <si>
    <t>VKT_BLKK135</t>
  </si>
  <si>
    <t>VKT_BLKK180</t>
  </si>
  <si>
    <t>VKT_BLKK90</t>
  </si>
  <si>
    <t>VKT_BLKT90</t>
  </si>
  <si>
    <t>VKT_BOINOX</t>
  </si>
  <si>
    <t>VKT_CC</t>
  </si>
  <si>
    <t>VKT_CS</t>
  </si>
  <si>
    <t>VKT_GCN</t>
  </si>
  <si>
    <t>VKT_GIANG</t>
  </si>
  <si>
    <t>VKT_GT180</t>
  </si>
  <si>
    <t>VKT_KKK</t>
  </si>
  <si>
    <t>VKT_KKS</t>
  </si>
  <si>
    <t>VKT_KKT</t>
  </si>
  <si>
    <t>VKT_TK</t>
  </si>
  <si>
    <t>B7.</t>
  </si>
  <si>
    <t>GIOĂNG</t>
  </si>
  <si>
    <t>GioangCS</t>
  </si>
  <si>
    <t>GioangL</t>
  </si>
  <si>
    <t>B8.</t>
  </si>
  <si>
    <t>VẬT TƯ PHỤ</t>
  </si>
  <si>
    <t>foam</t>
  </si>
  <si>
    <t>NutBN</t>
  </si>
  <si>
    <t>OcVit</t>
  </si>
  <si>
    <t>SikaChan</t>
  </si>
  <si>
    <t>B9.</t>
  </si>
  <si>
    <t>VẬN CHUYỂN</t>
  </si>
  <si>
    <t xml:space="preserve">D.2 CHI PHÍ VẬN CHUYỂN </t>
  </si>
  <si>
    <t>C.</t>
  </si>
  <si>
    <t>CHI PHÍ KHUÔN</t>
  </si>
  <si>
    <t>D.</t>
  </si>
  <si>
    <t>CHI PHÍ THIẾT BỊ THI CÔNG</t>
  </si>
  <si>
    <t>E.</t>
  </si>
  <si>
    <t>CHI PHÍ BAN CHỈ HUY</t>
  </si>
  <si>
    <t>F.</t>
  </si>
  <si>
    <t>CHI PHÍ QUẢN LÝ</t>
  </si>
  <si>
    <t>QUẢN LÝ CÔNG TY</t>
  </si>
  <si>
    <t>Chi phí Công ty</t>
  </si>
  <si>
    <t>DỰ PHÒNG PHÍ</t>
  </si>
  <si>
    <t>Dự phòng phí</t>
  </si>
  <si>
    <t>Dự phòng bảo hành</t>
  </si>
  <si>
    <t>Chi phí khác</t>
  </si>
  <si>
    <t>G</t>
  </si>
  <si>
    <t>LỢI NHUẬN THEO KẾ HOẠCH</t>
  </si>
  <si>
    <t>Doanh Thu (trước VAT)</t>
  </si>
  <si>
    <t>Chi phí (trước VAT)</t>
  </si>
  <si>
    <t>Thuế TNDN</t>
  </si>
  <si>
    <t>Lợi nhuận (sau thuế TNDN)</t>
  </si>
  <si>
    <t>Tỷ suất LN / Doanh thu</t>
  </si>
  <si>
    <t>CHUYÊN VIÊN DỰ TOÁN ĐẤU THẦU</t>
  </si>
  <si>
    <t>TP DỰ TOÁN ĐẤU THẦU</t>
  </si>
  <si>
    <t>NGUYỄN DUY THANH</t>
  </si>
  <si>
    <t xml:space="preserve"> </t>
  </si>
  <si>
    <r>
      <t xml:space="preserve">Dự án: </t>
    </r>
    <r>
      <rPr>
        <b/>
        <sz val="19"/>
        <color indexed="10"/>
        <rFont val="Times New Roman"/>
        <family val="1"/>
      </rPr>
      <t>GOLDEN CITY</t>
    </r>
  </si>
  <si>
    <r>
      <t xml:space="preserve">Hạng mục: </t>
    </r>
    <r>
      <rPr>
        <b/>
        <sz val="18"/>
        <color indexed="12"/>
        <rFont val="Times New Roman"/>
        <family val="1"/>
      </rPr>
      <t>NHÔM KÍNH</t>
    </r>
  </si>
  <si>
    <t>PHẦN B - BÁO GIÁ CHI TIẾT</t>
  </si>
  <si>
    <t>Số Tài Liệu</t>
  </si>
  <si>
    <t>Phiên Bản</t>
  </si>
  <si>
    <t>Ngày</t>
  </si>
  <si>
    <t>00</t>
  </si>
  <si>
    <t>Mô tả</t>
  </si>
  <si>
    <t>Ký hiệu</t>
  </si>
  <si>
    <t>Rộng
(m)</t>
  </si>
  <si>
    <t>Cao
(m)</t>
  </si>
  <si>
    <t>Đơn
vị</t>
  </si>
  <si>
    <t>Số lượng</t>
  </si>
  <si>
    <t>Tổng cộng</t>
  </si>
  <si>
    <t>Đơn giá
(VND)</t>
  </si>
  <si>
    <t>Thành tiền
(VND)</t>
  </si>
  <si>
    <t>CỬA SỔ LÙA</t>
  </si>
  <si>
    <t>CSL-50.01</t>
  </si>
  <si>
    <t>CSL-50.02</t>
  </si>
  <si>
    <t>CSL-50.03</t>
  </si>
  <si>
    <t>CSL-50.04</t>
  </si>
  <si>
    <t>CỬA ĐI LÙA</t>
  </si>
  <si>
    <t>CDL-65.01</t>
  </si>
  <si>
    <t>CDL-65.02</t>
  </si>
  <si>
    <t>CDL-65.03</t>
  </si>
  <si>
    <t>CDL-65.04</t>
  </si>
  <si>
    <t>C</t>
  </si>
  <si>
    <t>CỬA ĐI MỞ QUAY</t>
  </si>
  <si>
    <t>CSB-50.01</t>
  </si>
  <si>
    <t>CSB-50.02</t>
  </si>
  <si>
    <t>CSB-50.03</t>
  </si>
  <si>
    <t>CSB-50.04</t>
  </si>
  <si>
    <t>CSB-50.05</t>
  </si>
  <si>
    <t>CSB-50.06</t>
  </si>
  <si>
    <t>CSB-50.07</t>
  </si>
  <si>
    <t>CSB-50.08</t>
  </si>
  <si>
    <t>CSB-50.09</t>
  </si>
  <si>
    <t>CSB-50.10</t>
  </si>
  <si>
    <t>CDMQ-50.01</t>
  </si>
  <si>
    <t>CDMQ-50.02</t>
  </si>
  <si>
    <t>CDMQ-50.03</t>
  </si>
  <si>
    <t>CDMQ-50.04</t>
  </si>
  <si>
    <t>CDMQ-50.05</t>
  </si>
  <si>
    <t>CDMQ-50.06</t>
  </si>
  <si>
    <t>CDMQ-50.07</t>
  </si>
  <si>
    <t>CDMQ-50.08</t>
  </si>
  <si>
    <t>CDMQ-50.09</t>
  </si>
  <si>
    <t>CDMQ-50.10</t>
  </si>
  <si>
    <t>CDMQ-50.11</t>
  </si>
  <si>
    <t>CDMQ-50.12</t>
  </si>
  <si>
    <t>CDMQ-50.13</t>
  </si>
  <si>
    <t>CDMQ-50.14</t>
  </si>
  <si>
    <t>D</t>
  </si>
  <si>
    <t>VÁCH KÍNH PHÒNG TẮM</t>
  </si>
  <si>
    <t>VKT.01</t>
  </si>
  <si>
    <t>VKT.02</t>
  </si>
  <si>
    <t>VKT.03</t>
  </si>
  <si>
    <t>VKT.04</t>
  </si>
  <si>
    <t>VKT.05</t>
  </si>
  <si>
    <t>VKT.06</t>
  </si>
  <si>
    <t>VKT.07</t>
  </si>
  <si>
    <t>Tổng cộng:</t>
  </si>
  <si>
    <t>Ghi chú:</t>
  </si>
  <si>
    <t>- Đơn giá áp dụng cho 1 màu sơn cho toàn dự án, trường hợp dự án có nhiều màu sẽ được tính toán phụ phí và thống nhất giữa các bên.</t>
  </si>
  <si>
    <t>- Kích thước nghiệm thu là kích thước ô chờ.</t>
  </si>
  <si>
    <t>- Đối với các hạng mục có hình dạng dị hình (vòm cong, tam giác, bình hành…), khối lượng được quy về hình chữ nhật bao quanh.</t>
  </si>
  <si>
    <t>- Khối lượng là tạm tính.</t>
  </si>
  <si>
    <t>- Báo giá không bao gồm thí nghiệm mô hình.</t>
  </si>
  <si>
    <t>- Báo giá không bao gồm hệ khung thép giằng gia cố phía trên (vách kính, louver...).</t>
  </si>
  <si>
    <t>- Báo giá không bao gồm chi phí prelim (điện, nước...), chi phí dàn giáo ngoài và chi phí quản lý của thầu chính.</t>
  </si>
  <si>
    <t>- Đơn giá trên theo đơn vị tiền tệ là "đồng Việt Nam" và không bao gồm thuế VAT.</t>
  </si>
  <si>
    <t>- Báo giá đã bao gồm chi phí vận chuyển đến công trường.</t>
  </si>
  <si>
    <t>- Thời gian bảo hành vận hành 02 năm.</t>
  </si>
  <si>
    <t>- Báo giá có hiệu lực trong vòng 30 ngày.</t>
  </si>
  <si>
    <t>Phụ kiện</t>
  </si>
  <si>
    <t>Loại cửa</t>
  </si>
  <si>
    <t>Kính</t>
  </si>
  <si>
    <t>CSL50-2C</t>
  </si>
  <si>
    <t>Tên cửa:</t>
  </si>
  <si>
    <t>Cửa sổ lùa 2 cánh</t>
  </si>
  <si>
    <r>
      <t>Đ.Giá (VND/m</t>
    </r>
    <r>
      <rPr>
        <b/>
        <vertAlign val="super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):</t>
    </r>
  </si>
  <si>
    <t>- Nhôm hệ Nova 50</t>
  </si>
  <si>
    <r>
      <t>Diện tích (m</t>
    </r>
    <r>
      <rPr>
        <b/>
        <vertAlign val="superscript"/>
        <sz val="10"/>
        <color indexed="8"/>
        <rFont val="Times New Roman"/>
        <family val="1"/>
      </rPr>
      <t>2</t>
    </r>
    <r>
      <rPr>
        <b/>
        <sz val="10"/>
        <color indexed="8"/>
        <rFont val="Times New Roman"/>
        <family val="1"/>
      </rPr>
      <t>):</t>
    </r>
  </si>
  <si>
    <t>Kích thước</t>
  </si>
  <si>
    <t>W</t>
  </si>
  <si>
    <t>Tổng giá (VND):</t>
  </si>
  <si>
    <t>H</t>
  </si>
  <si>
    <t>Số bộ:</t>
  </si>
  <si>
    <t>W1</t>
  </si>
  <si>
    <t>% Kính:</t>
  </si>
  <si>
    <t>H1</t>
  </si>
  <si>
    <t>W2</t>
  </si>
  <si>
    <t>H2</t>
  </si>
  <si>
    <t>Diễn giải vật tư</t>
  </si>
  <si>
    <t>Mã vật tư</t>
  </si>
  <si>
    <t>Công thức</t>
  </si>
  <si>
    <t>Chiều dài
(m)</t>
  </si>
  <si>
    <t>KL
(kg/m)</t>
  </si>
  <si>
    <t xml:space="preserve"> S KL
(kg)</t>
  </si>
  <si>
    <t>Đơn giá
(Chưa VAT)</t>
  </si>
  <si>
    <t>Tổng giá</t>
  </si>
  <si>
    <t>A. GIÁ VẬT TƯ NHÔM</t>
  </si>
  <si>
    <t>WSAW-5013</t>
  </si>
  <si>
    <t>B. GIÁ VẬT TƯ PHỤ</t>
  </si>
  <si>
    <t>Mã quy đổi</t>
  </si>
  <si>
    <t>Đơn vị</t>
  </si>
  <si>
    <t>Mã BM</t>
  </si>
  <si>
    <t>C. GIÁ VẬT TƯ KÍNH</t>
  </si>
  <si>
    <t>W (m)</t>
  </si>
  <si>
    <t>H (m)</t>
  </si>
  <si>
    <t>Tổng diện tích (m2)</t>
  </si>
  <si>
    <t>Số lượng (tấm)</t>
  </si>
  <si>
    <t>Ʃ dự trù (m2)</t>
  </si>
  <si>
    <t>mai</t>
  </si>
  <si>
    <t>D. CHI PHÍ SẢN XUẤT</t>
  </si>
  <si>
    <t>G. PHỤ KIỆN</t>
  </si>
  <si>
    <t>H. GIOANG</t>
  </si>
  <si>
    <t>E. CHI PHÍ BAN CHỈ HUY</t>
  </si>
  <si>
    <t>F. CHI PHÍ THIẾT BỊ THI CÔNG</t>
  </si>
  <si>
    <t>TỔNG GIÁ THÀNH:</t>
  </si>
  <si>
    <t>Cửa sổ lùa 2 cánh + ô kính cố định</t>
  </si>
  <si>
    <t>Cửa</t>
  </si>
  <si>
    <t>Fix</t>
  </si>
  <si>
    <t>Chia khung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</si>
</sst>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-* #,##0.00\ _₫_-;\-* #,##0.00\ _₫_-;_-* &quot;-&quot;??\ _₫_-;_-@_-"/>
    <numFmt numFmtId="168" formatCode="0.000%"/>
    <numFmt numFmtId="169" formatCode="_-* #,##0\ _₫_-;\-* #,##0\ _₫_-;_-* &quot;-&quot;??\ _₫_-;_-@_-"/>
    <numFmt numFmtId="170" formatCode="0\ &quot; mm&quot;"/>
    <numFmt numFmtId="171" formatCode="0.00\ &quot; m2&quot;"/>
    <numFmt numFmtId="172" formatCode="0.000\ &quot; m&quot;"/>
    <numFmt numFmtId="173" formatCode="0.000"/>
    <numFmt numFmtId="174" formatCode="_-* #,##0.000\ _₫_-;\-* #,##0.000\ _₫_-;_-* &quot;-&quot;??\ _₫_-;_-@_-"/>
    <numFmt numFmtId="175" formatCode="0.000\ &quot; m2&quot;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FF0000"/>
      <name val="Times New Roman"/>
      <family val="1"/>
    </font>
    <font>
      <sz val="22"/>
      <color rgb="FFFF0000"/>
      <name val="Times New Roman"/>
      <family val="1"/>
    </font>
    <font>
      <b/>
      <sz val="16"/>
      <color rgb="FF002060"/>
      <name val="Times New Roman"/>
      <family val="1"/>
    </font>
    <font>
      <sz val="12"/>
      <name val="Times New Roman"/>
      <family val="1"/>
    </font>
    <font>
      <b/>
      <sz val="14"/>
      <color rgb="FF00206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2"/>
      <color indexed="12"/>
      <name val="Times New Roman"/>
      <family val="1"/>
      <charset val="163"/>
    </font>
    <font>
      <b/>
      <sz val="12"/>
      <color theme="0"/>
      <name val="Times New Roman"/>
      <family val="1"/>
    </font>
    <font>
      <i/>
      <sz val="12"/>
      <name val="Times New Roman"/>
      <family val="1"/>
      <charset val="163"/>
    </font>
    <font>
      <sz val="12"/>
      <color theme="1"/>
      <name val="Times New Roman"/>
      <family val="2"/>
      <charset val="163"/>
    </font>
    <font>
      <b/>
      <sz val="12"/>
      <color rgb="FFFF0000"/>
      <name val="Times New Roman"/>
      <family val="1"/>
    </font>
    <font>
      <sz val="12"/>
      <color indexed="12"/>
      <name val="Times New Roman"/>
      <family val="1"/>
    </font>
    <font>
      <b/>
      <sz val="28"/>
      <name val="Times New Roman"/>
      <family val="1"/>
    </font>
    <font>
      <sz val="11"/>
      <color theme="1"/>
      <name val="Times New Roman"/>
      <family val="1"/>
    </font>
    <font>
      <b/>
      <i/>
      <sz val="19"/>
      <name val="Times New Roman"/>
      <family val="1"/>
    </font>
    <font>
      <b/>
      <sz val="19"/>
      <color indexed="10"/>
      <name val="Times New Roman"/>
      <family val="1"/>
    </font>
    <font>
      <b/>
      <i/>
      <sz val="18"/>
      <name val="Times New Roman"/>
      <family val="1"/>
    </font>
    <font>
      <b/>
      <sz val="18"/>
      <color indexed="12"/>
      <name val="Times New Roman"/>
      <family val="1"/>
    </font>
    <font>
      <sz val="12"/>
      <color rgb="FFFF0000"/>
      <name val="Times New Roman"/>
      <family val="1"/>
    </font>
    <font>
      <i/>
      <sz val="18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sz val="12"/>
      <color theme="1"/>
      <name val="Times New Roman"/>
      <family val="1"/>
    </font>
    <font>
      <sz val="14"/>
      <name val="Times New Roman"/>
      <family val="1"/>
    </font>
    <font>
      <b/>
      <i/>
      <u/>
      <sz val="16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rgb="FF00B05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AAD291"/>
        <bgColor indexed="64"/>
      </patternFill>
    </fill>
    <fill>
      <patternFill patternType="solid">
        <fgColor rgb="FFE1F0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EDC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164" fontId="7" fillId="2" borderId="1" xfId="1" applyNumberFormat="1" applyFont="1" applyFill="1" applyBorder="1" applyAlignment="1" applyProtection="1">
      <alignment horizontal="center" vertical="center"/>
      <protection locked="0"/>
    </xf>
    <xf numFmtId="165" fontId="7" fillId="2" borderId="1" xfId="1" applyNumberFormat="1" applyFont="1" applyFill="1" applyBorder="1" applyAlignment="1" applyProtection="1">
      <alignment horizontal="center" vertical="center"/>
      <protection locked="0"/>
    </xf>
    <xf numFmtId="0" fontId="7" fillId="2" borderId="1" xfId="1" applyNumberFormat="1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4" fontId="8" fillId="0" borderId="2" xfId="1" applyNumberFormat="1" applyFont="1" applyFill="1" applyBorder="1" applyAlignment="1">
      <alignment horizontal="center" vertical="center"/>
    </xf>
    <xf numFmtId="165" fontId="8" fillId="0" borderId="2" xfId="1" applyNumberFormat="1" applyFont="1" applyFill="1" applyBorder="1" applyAlignment="1">
      <alignment horizontal="center" vertical="center"/>
    </xf>
    <xf numFmtId="0" fontId="8" fillId="0" borderId="2" xfId="1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64" fontId="8" fillId="0" borderId="3" xfId="1" applyNumberFormat="1" applyFont="1" applyFill="1" applyBorder="1" applyAlignment="1">
      <alignment horizontal="center" vertical="center"/>
    </xf>
    <xf numFmtId="165" fontId="8" fillId="0" borderId="3" xfId="1" applyNumberFormat="1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64" fontId="8" fillId="0" borderId="4" xfId="1" applyNumberFormat="1" applyFont="1" applyFill="1" applyBorder="1" applyAlignment="1">
      <alignment horizontal="center" vertical="center"/>
    </xf>
    <xf numFmtId="165" fontId="8" fillId="0" borderId="4" xfId="1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4" fontId="7" fillId="3" borderId="1" xfId="0" applyNumberFormat="1" applyFont="1" applyFill="1" applyBorder="1" applyAlignment="1" applyProtection="1">
      <alignment vertical="center"/>
      <protection locked="0"/>
    </xf>
    <xf numFmtId="164" fontId="7" fillId="3" borderId="1" xfId="1" applyNumberFormat="1" applyFont="1" applyFill="1" applyBorder="1" applyAlignment="1" applyProtection="1">
      <alignment horizontal="right" vertical="center"/>
      <protection locked="0"/>
    </xf>
    <xf numFmtId="165" fontId="7" fillId="3" borderId="1" xfId="1" applyNumberFormat="1" applyFont="1" applyFill="1" applyBorder="1" applyAlignment="1" applyProtection="1">
      <alignment horizontal="center" vertical="center"/>
      <protection locked="0"/>
    </xf>
    <xf numFmtId="165" fontId="7" fillId="3" borderId="1" xfId="1" applyNumberFormat="1" applyFont="1" applyFill="1" applyBorder="1" applyAlignment="1" applyProtection="1">
      <alignment horizontal="right" vertical="center"/>
      <protection locked="0"/>
    </xf>
    <xf numFmtId="0" fontId="7" fillId="3" borderId="1" xfId="1" applyNumberFormat="1" applyFont="1" applyFill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4" fontId="8" fillId="0" borderId="3" xfId="0" applyNumberFormat="1" applyFont="1" applyBorder="1" applyAlignment="1" applyProtection="1">
      <alignment horizontal="center" vertical="center"/>
      <protection locked="0"/>
    </xf>
    <xf numFmtId="164" fontId="8" fillId="0" borderId="5" xfId="1" applyNumberFormat="1" applyFont="1" applyFill="1" applyBorder="1" applyAlignment="1" applyProtection="1">
      <alignment horizontal="right" vertical="center"/>
      <protection locked="0"/>
    </xf>
    <xf numFmtId="165" fontId="5" fillId="0" borderId="5" xfId="1" applyNumberFormat="1" applyFont="1" applyFill="1" applyBorder="1" applyAlignment="1" applyProtection="1">
      <alignment horizontal="center" vertical="center"/>
      <protection locked="0"/>
    </xf>
    <xf numFmtId="165" fontId="8" fillId="0" borderId="5" xfId="1" applyNumberFormat="1" applyFont="1" applyFill="1" applyBorder="1" applyAlignment="1" applyProtection="1">
      <alignment horizontal="right" vertical="center"/>
      <protection locked="0"/>
    </xf>
    <xf numFmtId="0" fontId="8" fillId="0" borderId="5" xfId="1" applyNumberFormat="1" applyFont="1" applyFill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left" vertical="center"/>
    </xf>
    <xf numFmtId="4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4" fontId="5" fillId="0" borderId="5" xfId="0" applyNumberFormat="1" applyFont="1" applyBorder="1" applyAlignment="1" applyProtection="1">
      <alignment horizontal="center" vertical="center"/>
      <protection locked="0"/>
    </xf>
    <xf numFmtId="164" fontId="5" fillId="0" borderId="5" xfId="1" applyNumberFormat="1" applyFont="1" applyFill="1" applyBorder="1" applyAlignment="1" applyProtection="1">
      <alignment horizontal="right" vertical="center"/>
      <protection locked="0"/>
    </xf>
    <xf numFmtId="165" fontId="5" fillId="0" borderId="5" xfId="1" applyNumberFormat="1" applyFont="1" applyFill="1" applyBorder="1" applyAlignment="1" applyProtection="1">
      <alignment horizontal="right" vertical="center"/>
      <protection locked="0"/>
    </xf>
    <xf numFmtId="0" fontId="5" fillId="0" borderId="5" xfId="1" applyNumberFormat="1" applyFont="1" applyFill="1" applyBorder="1" applyAlignment="1" applyProtection="1">
      <alignment horizontal="left" vertical="center"/>
      <protection locked="0"/>
    </xf>
    <xf numFmtId="4" fontId="5" fillId="0" borderId="3" xfId="0" applyNumberFormat="1" applyFont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left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4" fontId="5" fillId="0" borderId="2" xfId="0" applyNumberFormat="1" applyFont="1" applyBorder="1" applyAlignment="1" applyProtection="1">
      <alignment horizontal="center" vertical="center"/>
      <protection locked="0"/>
    </xf>
    <xf numFmtId="164" fontId="5" fillId="0" borderId="2" xfId="1" applyNumberFormat="1" applyFont="1" applyFill="1" applyBorder="1" applyAlignment="1" applyProtection="1">
      <alignment horizontal="right" vertical="center"/>
      <protection locked="0"/>
    </xf>
    <xf numFmtId="165" fontId="5" fillId="0" borderId="2" xfId="1" applyNumberFormat="1" applyFont="1" applyFill="1" applyBorder="1" applyAlignment="1" applyProtection="1">
      <alignment horizontal="right" vertical="center"/>
      <protection locked="0"/>
    </xf>
    <xf numFmtId="0" fontId="5" fillId="0" borderId="2" xfId="1" applyNumberFormat="1" applyFont="1" applyFill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164" fontId="5" fillId="0" borderId="3" xfId="1" applyNumberFormat="1" applyFont="1" applyFill="1" applyBorder="1" applyAlignment="1" applyProtection="1">
      <alignment horizontal="right" vertical="center"/>
      <protection locked="0"/>
    </xf>
    <xf numFmtId="165" fontId="5" fillId="0" borderId="3" xfId="1" applyNumberFormat="1" applyFont="1" applyFill="1" applyBorder="1" applyAlignment="1" applyProtection="1">
      <alignment horizontal="right" vertical="center"/>
      <protection locked="0"/>
    </xf>
    <xf numFmtId="0" fontId="5" fillId="0" borderId="3" xfId="1" applyNumberFormat="1" applyFont="1" applyFill="1" applyBorder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7" fillId="4" borderId="5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left" vertical="center"/>
      <protection locked="0"/>
    </xf>
    <xf numFmtId="0" fontId="5" fillId="0" borderId="5" xfId="1" applyNumberFormat="1" applyFont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center" vertical="center"/>
    </xf>
    <xf numFmtId="0" fontId="5" fillId="3" borderId="1" xfId="0" applyFont="1" applyFill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165" fontId="5" fillId="0" borderId="2" xfId="1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left" vertical="center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4" fontId="5" fillId="0" borderId="6" xfId="1" applyNumberFormat="1" applyFont="1" applyFill="1" applyBorder="1" applyAlignment="1" applyProtection="1">
      <alignment horizontal="right" vertical="center"/>
      <protection locked="0"/>
    </xf>
    <xf numFmtId="165" fontId="5" fillId="0" borderId="6" xfId="1" applyNumberFormat="1" applyFont="1" applyFill="1" applyBorder="1" applyAlignment="1" applyProtection="1">
      <alignment horizontal="center" vertical="center"/>
      <protection locked="0"/>
    </xf>
    <xf numFmtId="165" fontId="5" fillId="0" borderId="6" xfId="1" applyNumberFormat="1" applyFont="1" applyFill="1" applyBorder="1" applyAlignment="1" applyProtection="1">
      <alignment horizontal="right" vertical="center"/>
      <protection locked="0"/>
    </xf>
    <xf numFmtId="0" fontId="5" fillId="0" borderId="6" xfId="1" applyNumberFormat="1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164" fontId="8" fillId="0" borderId="2" xfId="1" applyNumberFormat="1" applyFont="1" applyFill="1" applyBorder="1" applyAlignment="1" applyProtection="1">
      <alignment horizontal="right" vertical="center"/>
      <protection locked="0"/>
    </xf>
    <xf numFmtId="165" fontId="8" fillId="0" borderId="2" xfId="1" applyNumberFormat="1" applyFont="1" applyBorder="1" applyAlignment="1" applyProtection="1">
      <alignment horizontal="center" vertical="center"/>
      <protection locked="0"/>
    </xf>
    <xf numFmtId="165" fontId="8" fillId="0" borderId="2" xfId="1" applyNumberFormat="1" applyFont="1" applyFill="1" applyBorder="1" applyAlignment="1" applyProtection="1">
      <alignment horizontal="center" vertical="center"/>
      <protection locked="0"/>
    </xf>
    <xf numFmtId="0" fontId="8" fillId="0" borderId="2" xfId="1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164" fontId="8" fillId="0" borderId="3" xfId="1" applyNumberFormat="1" applyFont="1" applyFill="1" applyBorder="1" applyAlignment="1" applyProtection="1">
      <alignment horizontal="right" vertical="center"/>
      <protection locked="0"/>
    </xf>
    <xf numFmtId="165" fontId="8" fillId="0" borderId="3" xfId="1" applyNumberFormat="1" applyFont="1" applyBorder="1" applyAlignment="1" applyProtection="1">
      <alignment horizontal="center" vertical="center"/>
      <protection locked="0"/>
    </xf>
    <xf numFmtId="165" fontId="8" fillId="0" borderId="3" xfId="1" applyNumberFormat="1" applyFont="1" applyFill="1" applyBorder="1" applyAlignment="1" applyProtection="1">
      <alignment horizontal="center" vertical="center"/>
      <protection locked="0"/>
    </xf>
    <xf numFmtId="0" fontId="8" fillId="0" borderId="3" xfId="1" applyNumberFormat="1" applyFont="1" applyFill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left" vertical="center"/>
    </xf>
    <xf numFmtId="165" fontId="8" fillId="0" borderId="4" xfId="1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10" fontId="7" fillId="2" borderId="1" xfId="2" applyNumberFormat="1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164" fontId="11" fillId="4" borderId="1" xfId="1" applyNumberFormat="1" applyFont="1" applyFill="1" applyBorder="1" applyAlignment="1" applyProtection="1">
      <alignment horizontal="center" vertical="center"/>
      <protection locked="0"/>
    </xf>
    <xf numFmtId="165" fontId="11" fillId="4" borderId="1" xfId="1" applyNumberFormat="1" applyFont="1" applyFill="1" applyBorder="1" applyAlignment="1" applyProtection="1">
      <alignment horizontal="center" vertical="center"/>
      <protection locked="0"/>
    </xf>
    <xf numFmtId="0" fontId="11" fillId="4" borderId="1" xfId="1" applyNumberFormat="1" applyFont="1" applyFill="1" applyBorder="1" applyAlignment="1" applyProtection="1">
      <alignment horizontal="left" vertical="center"/>
      <protection locked="0"/>
    </xf>
    <xf numFmtId="4" fontId="7" fillId="2" borderId="1" xfId="0" applyNumberFormat="1" applyFont="1" applyFill="1" applyBorder="1" applyAlignment="1" applyProtection="1">
      <alignment vertical="center"/>
      <protection locked="0"/>
    </xf>
    <xf numFmtId="165" fontId="5" fillId="0" borderId="0" xfId="0" applyNumberFormat="1" applyFont="1" applyAlignment="1">
      <alignment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5" fontId="5" fillId="0" borderId="3" xfId="1" applyNumberFormat="1" applyFont="1" applyFill="1" applyBorder="1" applyAlignment="1" applyProtection="1">
      <alignment horizontal="center" vertical="center"/>
      <protection locked="0"/>
    </xf>
    <xf numFmtId="166" fontId="5" fillId="0" borderId="2" xfId="0" applyNumberFormat="1" applyFont="1" applyBorder="1" applyAlignment="1" applyProtection="1">
      <alignment horizontal="center" vertical="center"/>
      <protection locked="0"/>
    </xf>
    <xf numFmtId="165" fontId="5" fillId="5" borderId="2" xfId="1" applyNumberFormat="1" applyFont="1" applyFill="1" applyBorder="1" applyAlignment="1" applyProtection="1">
      <alignment horizontal="center" vertical="center"/>
      <protection locked="0"/>
    </xf>
    <xf numFmtId="0" fontId="5" fillId="5" borderId="2" xfId="1" applyNumberFormat="1" applyFont="1" applyFill="1" applyBorder="1" applyAlignment="1" applyProtection="1">
      <alignment horizontal="left" vertical="center"/>
      <protection locked="0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 applyProtection="1">
      <alignment vertical="center"/>
      <protection locked="0"/>
    </xf>
    <xf numFmtId="166" fontId="8" fillId="0" borderId="3" xfId="2" applyNumberFormat="1" applyFont="1" applyFill="1" applyBorder="1" applyAlignment="1" applyProtection="1">
      <alignment horizontal="center" vertical="center"/>
      <protection locked="0"/>
    </xf>
    <xf numFmtId="165" fontId="8" fillId="5" borderId="3" xfId="1" applyNumberFormat="1" applyFont="1" applyFill="1" applyBorder="1" applyAlignment="1" applyProtection="1">
      <alignment horizontal="center" vertical="center"/>
      <protection locked="0"/>
    </xf>
    <xf numFmtId="0" fontId="8" fillId="5" borderId="3" xfId="1" applyNumberFormat="1" applyFont="1" applyFill="1" applyBorder="1" applyAlignment="1" applyProtection="1">
      <alignment horizontal="left" vertical="center"/>
      <protection locked="0"/>
    </xf>
    <xf numFmtId="165" fontId="8" fillId="0" borderId="0" xfId="0" applyNumberFormat="1" applyFont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 applyProtection="1">
      <alignment vertical="center"/>
      <protection locked="0"/>
    </xf>
    <xf numFmtId="166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9" fontId="8" fillId="0" borderId="3" xfId="2" applyFont="1" applyFill="1" applyBorder="1" applyAlignment="1" applyProtection="1">
      <alignment horizontal="center" vertical="center"/>
      <protection locked="0"/>
    </xf>
    <xf numFmtId="165" fontId="12" fillId="5" borderId="3" xfId="1" applyNumberFormat="1" applyFont="1" applyFill="1" applyBorder="1" applyAlignment="1" applyProtection="1">
      <alignment horizontal="center" vertical="center"/>
      <protection locked="0"/>
    </xf>
    <xf numFmtId="0" fontId="12" fillId="5" borderId="3" xfId="1" applyNumberFormat="1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166" fontId="7" fillId="2" borderId="1" xfId="2" applyNumberFormat="1" applyFont="1" applyFill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 applyProtection="1">
      <alignment horizontal="left" vertical="center"/>
      <protection locked="0"/>
    </xf>
    <xf numFmtId="165" fontId="7" fillId="0" borderId="3" xfId="1" applyNumberFormat="1" applyFont="1" applyFill="1" applyBorder="1" applyAlignment="1" applyProtection="1">
      <alignment horizontal="center" vertical="center"/>
      <protection locked="0"/>
    </xf>
    <xf numFmtId="165" fontId="7" fillId="5" borderId="3" xfId="1" applyNumberFormat="1" applyFont="1" applyFill="1" applyBorder="1" applyAlignment="1" applyProtection="1">
      <alignment horizontal="center" vertical="center"/>
      <protection locked="0"/>
    </xf>
    <xf numFmtId="0" fontId="7" fillId="5" borderId="3" xfId="1" applyNumberFormat="1" applyFont="1" applyFill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horizontal="left" vertical="center"/>
    </xf>
    <xf numFmtId="165" fontId="7" fillId="0" borderId="3" xfId="3" applyNumberFormat="1" applyFont="1" applyFill="1" applyBorder="1" applyAlignment="1" applyProtection="1">
      <alignment horizontal="center" vertical="center"/>
      <protection locked="0"/>
    </xf>
    <xf numFmtId="165" fontId="7" fillId="5" borderId="3" xfId="3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165" fontId="5" fillId="5" borderId="3" xfId="3" applyNumberFormat="1" applyFont="1" applyFill="1" applyBorder="1" applyAlignment="1" applyProtection="1">
      <alignment horizontal="center" vertical="center"/>
      <protection locked="0"/>
    </xf>
    <xf numFmtId="0" fontId="5" fillId="5" borderId="3" xfId="1" applyNumberFormat="1" applyFont="1" applyFill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>
      <alignment horizontal="left" vertical="center"/>
    </xf>
    <xf numFmtId="0" fontId="7" fillId="0" borderId="4" xfId="0" applyFont="1" applyBorder="1" applyAlignment="1" applyProtection="1">
      <alignment vertical="center"/>
      <protection locked="0"/>
    </xf>
    <xf numFmtId="165" fontId="7" fillId="0" borderId="4" xfId="3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66" fontId="14" fillId="5" borderId="4" xfId="4" applyNumberFormat="1" applyFont="1" applyFill="1" applyBorder="1" applyAlignment="1" applyProtection="1">
      <alignment horizontal="right" vertical="center"/>
      <protection locked="0"/>
    </xf>
    <xf numFmtId="0" fontId="14" fillId="5" borderId="4" xfId="2" applyNumberFormat="1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5" fontId="5" fillId="0" borderId="0" xfId="1" applyNumberFormat="1" applyFont="1" applyFill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5" fillId="0" borderId="0" xfId="1" applyNumberFormat="1" applyFont="1" applyFill="1" applyAlignment="1">
      <alignment horizontal="left" vertical="center"/>
    </xf>
    <xf numFmtId="165" fontId="15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7" fillId="0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16" fillId="0" borderId="0" xfId="0" applyNumberFormat="1" applyFont="1" applyBorder="1" applyAlignment="1">
      <alignment horizontal="center" vertical="center"/>
    </xf>
    <xf numFmtId="0" fontId="17" fillId="0" borderId="0" xfId="0" applyFont="1"/>
    <xf numFmtId="3" fontId="18" fillId="0" borderId="0" xfId="0" applyNumberFormat="1" applyFont="1" applyBorder="1" applyAlignment="1">
      <alignment horizontal="center" vertical="center"/>
    </xf>
    <xf numFmtId="3" fontId="20" fillId="0" borderId="8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NumberFormat="1" applyFont="1" applyBorder="1" applyAlignment="1">
      <alignment horizontal="center" vertical="center"/>
    </xf>
    <xf numFmtId="3" fontId="23" fillId="0" borderId="0" xfId="0" applyNumberFormat="1" applyFont="1" applyBorder="1" applyAlignment="1">
      <alignment horizontal="center" vertical="center" wrapText="1"/>
    </xf>
    <xf numFmtId="3" fontId="23" fillId="0" borderId="0" xfId="0" applyNumberFormat="1" applyFont="1" applyBorder="1" applyAlignment="1">
      <alignment horizontal="center" vertical="center"/>
    </xf>
    <xf numFmtId="169" fontId="23" fillId="0" borderId="0" xfId="1" applyNumberFormat="1" applyFont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3" fontId="25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169" fontId="7" fillId="2" borderId="1" xfId="1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3" fontId="5" fillId="0" borderId="9" xfId="0" applyNumberFormat="1" applyFont="1" applyFill="1" applyBorder="1" applyAlignment="1">
      <alignment horizontal="center" vertical="center"/>
    </xf>
    <xf numFmtId="169" fontId="5" fillId="4" borderId="1" xfId="1" quotePrefix="1" applyNumberFormat="1" applyFont="1" applyFill="1" applyBorder="1" applyAlignment="1">
      <alignment horizontal="center"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3" fontId="7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9" fontId="5" fillId="0" borderId="0" xfId="1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24" fillId="2" borderId="1" xfId="0" applyNumberFormat="1" applyFont="1" applyFill="1" applyBorder="1" applyAlignment="1">
      <alignment horizontal="center" vertical="center" wrapText="1" shrinkToFit="1"/>
    </xf>
    <xf numFmtId="0" fontId="24" fillId="2" borderId="1" xfId="0" applyNumberFormat="1" applyFont="1" applyFill="1" applyBorder="1" applyAlignment="1">
      <alignment horizontal="center" vertical="center" wrapText="1"/>
    </xf>
    <xf numFmtId="0" fontId="24" fillId="2" borderId="1" xfId="1" applyNumberFormat="1" applyFont="1" applyFill="1" applyBorder="1" applyAlignment="1">
      <alignment horizontal="center" vertical="center" wrapText="1"/>
    </xf>
    <xf numFmtId="0" fontId="17" fillId="0" borderId="0" xfId="0" applyNumberFormat="1" applyFont="1" applyAlignment="1">
      <alignment wrapText="1"/>
    </xf>
    <xf numFmtId="0" fontId="26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4" fontId="26" fillId="3" borderId="1" xfId="0" applyNumberFormat="1" applyFont="1" applyFill="1" applyBorder="1" applyAlignment="1">
      <alignment horizontal="center" vertical="center"/>
    </xf>
    <xf numFmtId="0" fontId="26" fillId="3" borderId="1" xfId="1" applyNumberFormat="1" applyFont="1" applyFill="1" applyBorder="1" applyAlignment="1">
      <alignment horizontal="center" vertical="center"/>
    </xf>
    <xf numFmtId="39" fontId="26" fillId="3" borderId="1" xfId="1" applyNumberFormat="1" applyFont="1" applyFill="1" applyBorder="1" applyAlignment="1">
      <alignment horizontal="right" vertical="center"/>
    </xf>
    <xf numFmtId="37" fontId="26" fillId="3" borderId="1" xfId="1" applyNumberFormat="1" applyFont="1" applyFill="1" applyBorder="1" applyAlignment="1">
      <alignment horizontal="right" vertical="center"/>
    </xf>
    <xf numFmtId="0" fontId="27" fillId="6" borderId="1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horizontal="center" vertical="center"/>
    </xf>
    <xf numFmtId="4" fontId="27" fillId="6" borderId="1" xfId="0" applyNumberFormat="1" applyFont="1" applyFill="1" applyBorder="1" applyAlignment="1">
      <alignment horizontal="center" vertical="center"/>
    </xf>
    <xf numFmtId="0" fontId="27" fillId="6" borderId="1" xfId="1" applyNumberFormat="1" applyFont="1" applyFill="1" applyBorder="1" applyAlignment="1">
      <alignment horizontal="center" vertical="center"/>
    </xf>
    <xf numFmtId="39" fontId="27" fillId="6" borderId="1" xfId="1" applyNumberFormat="1" applyFont="1" applyFill="1" applyBorder="1" applyAlignment="1">
      <alignment horizontal="right" vertical="center"/>
    </xf>
    <xf numFmtId="37" fontId="27" fillId="6" borderId="1" xfId="1" applyNumberFormat="1" applyFont="1" applyFill="1" applyBorder="1" applyAlignment="1">
      <alignment horizontal="right" vertical="center"/>
    </xf>
    <xf numFmtId="0" fontId="17" fillId="0" borderId="0" xfId="0" applyFont="1" applyAlignment="1">
      <alignment vertical="center" wrapText="1"/>
    </xf>
    <xf numFmtId="3" fontId="24" fillId="2" borderId="1" xfId="0" applyNumberFormat="1" applyFont="1" applyFill="1" applyBorder="1" applyAlignment="1">
      <alignment horizontal="center" vertical="center"/>
    </xf>
    <xf numFmtId="0" fontId="24" fillId="2" borderId="1" xfId="1" applyNumberFormat="1" applyFont="1" applyFill="1" applyBorder="1" applyAlignment="1">
      <alignment horizontal="center" vertical="center"/>
    </xf>
    <xf numFmtId="39" fontId="24" fillId="2" borderId="1" xfId="1" applyNumberFormat="1" applyFont="1" applyFill="1" applyBorder="1" applyAlignment="1">
      <alignment horizontal="right" vertical="center"/>
    </xf>
    <xf numFmtId="37" fontId="24" fillId="2" borderId="1" xfId="1" applyNumberFormat="1" applyFont="1" applyFill="1" applyBorder="1" applyAlignment="1">
      <alignment horizontal="right" vertical="center"/>
    </xf>
    <xf numFmtId="0" fontId="28" fillId="0" borderId="0" xfId="0" applyFont="1"/>
    <xf numFmtId="169" fontId="28" fillId="0" borderId="0" xfId="1" applyNumberFormat="1" applyFont="1"/>
    <xf numFmtId="0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4" fillId="0" borderId="0" xfId="1" quotePrefix="1" applyNumberFormat="1" applyFont="1" applyAlignment="1">
      <alignment vertical="center"/>
    </xf>
    <xf numFmtId="3" fontId="24" fillId="0" borderId="0" xfId="0" quotePrefix="1" applyNumberFormat="1" applyFont="1" applyAlignment="1">
      <alignment vertical="center"/>
    </xf>
    <xf numFmtId="49" fontId="30" fillId="0" borderId="0" xfId="0" applyNumberFormat="1" applyFont="1" applyAlignment="1">
      <alignment horizontal="left" vertical="center"/>
    </xf>
    <xf numFmtId="49" fontId="29" fillId="0" borderId="0" xfId="0" applyNumberFormat="1" applyFont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right" vertical="center"/>
    </xf>
    <xf numFmtId="49" fontId="24" fillId="0" borderId="0" xfId="1" applyNumberFormat="1" applyFont="1" applyAlignment="1">
      <alignment horizontal="right" vertical="center"/>
    </xf>
    <xf numFmtId="0" fontId="29" fillId="0" borderId="0" xfId="0" quotePrefix="1" applyNumberFormat="1" applyFont="1" applyAlignment="1">
      <alignment horizontal="left" vertical="center"/>
    </xf>
    <xf numFmtId="0" fontId="29" fillId="0" borderId="0" xfId="0" applyNumberFormat="1" applyFont="1" applyAlignment="1">
      <alignment horizontal="left" vertical="center"/>
    </xf>
    <xf numFmtId="49" fontId="29" fillId="0" borderId="0" xfId="0" quotePrefix="1" applyNumberFormat="1" applyFont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0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169" fontId="17" fillId="0" borderId="0" xfId="1" applyNumberFormat="1" applyFont="1"/>
    <xf numFmtId="0" fontId="31" fillId="2" borderId="1" xfId="0" applyFont="1" applyFill="1" applyBorder="1" applyAlignment="1">
      <alignment horizontal="center" vertical="center"/>
    </xf>
    <xf numFmtId="0" fontId="32" fillId="0" borderId="10" xfId="0" applyFont="1" applyBorder="1" applyAlignment="1">
      <alignment vertical="center"/>
    </xf>
    <xf numFmtId="0" fontId="31" fillId="2" borderId="9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left" vertical="center"/>
    </xf>
    <xf numFmtId="170" fontId="33" fillId="7" borderId="1" xfId="0" applyNumberFormat="1" applyFont="1" applyFill="1" applyBorder="1" applyAlignment="1">
      <alignment horizontal="center" vertical="center"/>
    </xf>
    <xf numFmtId="165" fontId="31" fillId="0" borderId="1" xfId="1" applyNumberFormat="1" applyFont="1" applyFill="1" applyBorder="1" applyAlignment="1">
      <alignment horizontal="right" vertical="center"/>
    </xf>
    <xf numFmtId="165" fontId="31" fillId="0" borderId="1" xfId="1" applyNumberFormat="1" applyFont="1" applyFill="1" applyBorder="1" applyAlignment="1">
      <alignment horizontal="center" vertical="center"/>
    </xf>
    <xf numFmtId="0" fontId="33" fillId="7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1" fillId="8" borderId="1" xfId="0" applyNumberFormat="1" applyFont="1" applyFill="1" applyBorder="1" applyAlignment="1">
      <alignment horizontal="left" vertical="center"/>
    </xf>
    <xf numFmtId="170" fontId="35" fillId="0" borderId="1" xfId="0" applyNumberFormat="1" applyFont="1" applyFill="1" applyBorder="1" applyAlignment="1">
      <alignment vertical="center"/>
    </xf>
    <xf numFmtId="0" fontId="36" fillId="0" borderId="1" xfId="0" applyFont="1" applyFill="1" applyBorder="1" applyAlignment="1">
      <alignment horizontal="right" vertical="center"/>
    </xf>
    <xf numFmtId="165" fontId="33" fillId="0" borderId="9" xfId="1" applyNumberFormat="1" applyFont="1" applyFill="1" applyBorder="1" applyAlignment="1">
      <alignment horizontal="center" vertical="center"/>
    </xf>
    <xf numFmtId="0" fontId="34" fillId="0" borderId="9" xfId="0" quotePrefix="1" applyNumberFormat="1" applyFont="1" applyFill="1" applyBorder="1" applyAlignment="1">
      <alignment horizontal="left" vertical="center"/>
    </xf>
    <xf numFmtId="0" fontId="34" fillId="0" borderId="13" xfId="0" applyNumberFormat="1" applyFont="1" applyFill="1" applyBorder="1" applyAlignment="1">
      <alignment horizontal="left" vertical="center"/>
    </xf>
    <xf numFmtId="0" fontId="34" fillId="0" borderId="12" xfId="0" applyNumberFormat="1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center" vertical="center"/>
    </xf>
    <xf numFmtId="171" fontId="32" fillId="0" borderId="1" xfId="0" applyNumberFormat="1" applyFont="1" applyBorder="1" applyAlignment="1">
      <alignment horizontal="right" vertical="center"/>
    </xf>
    <xf numFmtId="0" fontId="34" fillId="0" borderId="1" xfId="0" applyNumberFormat="1" applyFont="1" applyBorder="1" applyAlignment="1">
      <alignment horizontal="left" vertical="center" wrapText="1"/>
    </xf>
    <xf numFmtId="0" fontId="36" fillId="9" borderId="14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horizontal="center" vertical="center"/>
    </xf>
    <xf numFmtId="172" fontId="33" fillId="9" borderId="1" xfId="0" applyNumberFormat="1" applyFont="1" applyFill="1" applyBorder="1" applyAlignment="1">
      <alignment horizontal="center" vertical="center"/>
    </xf>
    <xf numFmtId="165" fontId="31" fillId="0" borderId="1" xfId="1" applyNumberFormat="1" applyFont="1" applyFill="1" applyBorder="1" applyAlignment="1">
      <alignment horizontal="center" vertical="center"/>
    </xf>
    <xf numFmtId="0" fontId="36" fillId="9" borderId="6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1" xfId="0" applyNumberFormat="1" applyFont="1" applyBorder="1" applyAlignment="1">
      <alignment vertical="center"/>
    </xf>
    <xf numFmtId="0" fontId="34" fillId="0" borderId="0" xfId="0" applyNumberFormat="1" applyFont="1" applyAlignment="1">
      <alignment vertical="center"/>
    </xf>
    <xf numFmtId="0" fontId="39" fillId="9" borderId="1" xfId="0" applyFont="1" applyFill="1" applyBorder="1" applyAlignment="1">
      <alignment horizontal="center" vertical="center"/>
    </xf>
    <xf numFmtId="172" fontId="39" fillId="9" borderId="1" xfId="0" applyNumberFormat="1" applyFont="1" applyFill="1" applyBorder="1" applyAlignment="1">
      <alignment horizontal="center" vertical="center"/>
    </xf>
    <xf numFmtId="9" fontId="32" fillId="0" borderId="1" xfId="2" applyNumberFormat="1" applyFont="1" applyFill="1" applyBorder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4" fillId="0" borderId="0" xfId="0" applyNumberFormat="1" applyFont="1" applyAlignment="1">
      <alignment horizontal="center" vertical="center"/>
    </xf>
    <xf numFmtId="0" fontId="34" fillId="0" borderId="0" xfId="0" applyNumberFormat="1" applyFont="1" applyAlignment="1">
      <alignment vertical="center" wrapText="1"/>
    </xf>
    <xf numFmtId="0" fontId="31" fillId="9" borderId="1" xfId="0" applyFont="1" applyFill="1" applyBorder="1" applyAlignment="1">
      <alignment horizontal="center" vertical="center"/>
    </xf>
    <xf numFmtId="172" fontId="31" fillId="9" borderId="1" xfId="0" applyNumberFormat="1" applyFont="1" applyFill="1" applyBorder="1" applyAlignment="1">
      <alignment horizontal="center" vertical="center"/>
    </xf>
    <xf numFmtId="0" fontId="36" fillId="9" borderId="15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2" fontId="31" fillId="3" borderId="1" xfId="0" applyNumberFormat="1" applyFont="1" applyFill="1" applyBorder="1" applyAlignment="1">
      <alignment horizontal="left" vertical="center"/>
    </xf>
    <xf numFmtId="2" fontId="31" fillId="3" borderId="9" xfId="0" applyNumberFormat="1" applyFont="1" applyFill="1" applyBorder="1" applyAlignment="1">
      <alignment horizontal="center" vertical="center"/>
    </xf>
    <xf numFmtId="169" fontId="31" fillId="3" borderId="1" xfId="0" applyNumberFormat="1" applyFont="1" applyFill="1" applyBorder="1" applyAlignment="1">
      <alignment horizontal="center" vertical="center"/>
    </xf>
    <xf numFmtId="0" fontId="31" fillId="3" borderId="1" xfId="1" applyNumberFormat="1" applyFont="1" applyFill="1" applyBorder="1" applyAlignment="1">
      <alignment horizontal="center" vertical="center"/>
    </xf>
    <xf numFmtId="173" fontId="31" fillId="3" borderId="1" xfId="0" applyNumberFormat="1" applyFont="1" applyFill="1" applyBorder="1" applyAlignment="1">
      <alignment horizontal="center" vertical="center"/>
    </xf>
    <xf numFmtId="169" fontId="31" fillId="3" borderId="1" xfId="1" applyNumberFormat="1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left" vertical="center"/>
    </xf>
    <xf numFmtId="0" fontId="32" fillId="10" borderId="2" xfId="0" applyFont="1" applyFill="1" applyBorder="1" applyAlignment="1">
      <alignment horizontal="center" vertical="center"/>
    </xf>
    <xf numFmtId="0" fontId="32" fillId="10" borderId="2" xfId="0" quotePrefix="1" applyFont="1" applyFill="1" applyBorder="1" applyAlignment="1">
      <alignment horizontal="center" vertical="center"/>
    </xf>
    <xf numFmtId="173" fontId="32" fillId="0" borderId="2" xfId="0" applyNumberFormat="1" applyFont="1" applyFill="1" applyBorder="1" applyAlignment="1">
      <alignment horizontal="center" vertical="center"/>
    </xf>
    <xf numFmtId="173" fontId="32" fillId="0" borderId="2" xfId="1" applyNumberFormat="1" applyFont="1" applyFill="1" applyBorder="1" applyAlignment="1">
      <alignment horizontal="center" vertical="center"/>
    </xf>
    <xf numFmtId="169" fontId="32" fillId="0" borderId="2" xfId="1" applyNumberFormat="1" applyFont="1" applyFill="1" applyBorder="1" applyAlignment="1">
      <alignment horizontal="center" vertical="center"/>
    </xf>
    <xf numFmtId="174" fontId="32" fillId="0" borderId="0" xfId="1" applyNumberFormat="1" applyFont="1" applyFill="1" applyAlignment="1">
      <alignment vertical="center"/>
    </xf>
    <xf numFmtId="164" fontId="32" fillId="0" borderId="0" xfId="1" applyFont="1" applyFill="1" applyAlignment="1">
      <alignment vertical="center"/>
    </xf>
    <xf numFmtId="0" fontId="32" fillId="0" borderId="3" xfId="0" applyFont="1" applyFill="1" applyBorder="1" applyAlignment="1">
      <alignment horizontal="left" vertical="center"/>
    </xf>
    <xf numFmtId="0" fontId="32" fillId="10" borderId="3" xfId="0" applyFont="1" applyFill="1" applyBorder="1" applyAlignment="1">
      <alignment horizontal="center" vertical="center"/>
    </xf>
    <xf numFmtId="0" fontId="32" fillId="10" borderId="3" xfId="0" quotePrefix="1" applyFont="1" applyFill="1" applyBorder="1" applyAlignment="1">
      <alignment horizontal="center" vertical="center"/>
    </xf>
    <xf numFmtId="173" fontId="32" fillId="0" borderId="3" xfId="0" applyNumberFormat="1" applyFont="1" applyFill="1" applyBorder="1" applyAlignment="1">
      <alignment horizontal="center" vertical="center"/>
    </xf>
    <xf numFmtId="173" fontId="32" fillId="0" borderId="3" xfId="1" applyNumberFormat="1" applyFont="1" applyFill="1" applyBorder="1" applyAlignment="1">
      <alignment horizontal="center" vertical="center"/>
    </xf>
    <xf numFmtId="169" fontId="32" fillId="0" borderId="3" xfId="1" applyNumberFormat="1" applyFont="1" applyFill="1" applyBorder="1" applyAlignment="1">
      <alignment horizontal="center" vertical="center"/>
    </xf>
    <xf numFmtId="165" fontId="32" fillId="0" borderId="3" xfId="0" applyNumberFormat="1" applyFont="1" applyFill="1" applyBorder="1" applyAlignment="1">
      <alignment horizontal="left" vertical="center"/>
    </xf>
    <xf numFmtId="165" fontId="32" fillId="0" borderId="4" xfId="0" applyNumberFormat="1" applyFont="1" applyFill="1" applyBorder="1" applyAlignment="1">
      <alignment horizontal="left" vertical="center"/>
    </xf>
    <xf numFmtId="0" fontId="32" fillId="10" borderId="4" xfId="0" applyFont="1" applyFill="1" applyBorder="1" applyAlignment="1">
      <alignment horizontal="center" vertical="center"/>
    </xf>
    <xf numFmtId="0" fontId="32" fillId="10" borderId="4" xfId="0" quotePrefix="1" applyFont="1" applyFill="1" applyBorder="1" applyAlignment="1">
      <alignment horizontal="center" vertical="center"/>
    </xf>
    <xf numFmtId="173" fontId="32" fillId="0" borderId="4" xfId="0" applyNumberFormat="1" applyFont="1" applyFill="1" applyBorder="1" applyAlignment="1">
      <alignment horizontal="center" vertical="center"/>
    </xf>
    <xf numFmtId="173" fontId="32" fillId="0" borderId="4" xfId="1" applyNumberFormat="1" applyFont="1" applyFill="1" applyBorder="1" applyAlignment="1">
      <alignment horizontal="center" vertical="center"/>
    </xf>
    <xf numFmtId="169" fontId="32" fillId="0" borderId="4" xfId="1" applyNumberFormat="1" applyFont="1" applyFill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vertical="center"/>
    </xf>
    <xf numFmtId="173" fontId="31" fillId="3" borderId="1" xfId="1" applyNumberFormat="1" applyFont="1" applyFill="1" applyBorder="1" applyAlignment="1">
      <alignment horizontal="center" vertical="center"/>
    </xf>
    <xf numFmtId="169" fontId="31" fillId="3" borderId="1" xfId="1" applyNumberFormat="1" applyFont="1" applyFill="1" applyBorder="1" applyAlignment="1">
      <alignment horizontal="left" vertical="center"/>
    </xf>
    <xf numFmtId="165" fontId="32" fillId="0" borderId="2" xfId="0" applyNumberFormat="1" applyFont="1" applyFill="1" applyBorder="1" applyAlignment="1">
      <alignment horizontal="left" vertical="center" wrapText="1"/>
    </xf>
    <xf numFmtId="170" fontId="34" fillId="10" borderId="2" xfId="0" applyNumberFormat="1" applyFont="1" applyFill="1" applyBorder="1" applyAlignment="1">
      <alignment horizontal="center" vertical="center"/>
    </xf>
    <xf numFmtId="173" fontId="32" fillId="0" borderId="2" xfId="0" applyNumberFormat="1" applyFont="1" applyFill="1" applyBorder="1" applyAlignment="1">
      <alignment vertical="center"/>
    </xf>
    <xf numFmtId="173" fontId="32" fillId="10" borderId="2" xfId="0" applyNumberFormat="1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vertical="center"/>
    </xf>
    <xf numFmtId="2" fontId="32" fillId="0" borderId="2" xfId="0" applyNumberFormat="1" applyFont="1" applyFill="1" applyBorder="1" applyAlignment="1">
      <alignment horizontal="center" vertical="center"/>
    </xf>
    <xf numFmtId="169" fontId="32" fillId="0" borderId="2" xfId="1" applyNumberFormat="1" applyFont="1" applyFill="1" applyBorder="1" applyAlignment="1">
      <alignment vertical="center"/>
    </xf>
    <xf numFmtId="173" fontId="32" fillId="0" borderId="0" xfId="0" applyNumberFormat="1" applyFont="1" applyAlignment="1">
      <alignment vertical="center"/>
    </xf>
    <xf numFmtId="165" fontId="32" fillId="0" borderId="3" xfId="0" applyNumberFormat="1" applyFont="1" applyFill="1" applyBorder="1" applyAlignment="1">
      <alignment horizontal="center" vertical="center"/>
    </xf>
    <xf numFmtId="2" fontId="34" fillId="0" borderId="3" xfId="0" applyNumberFormat="1" applyFont="1" applyFill="1" applyBorder="1" applyAlignment="1">
      <alignment horizontal="center" vertical="center"/>
    </xf>
    <xf numFmtId="1" fontId="32" fillId="10" borderId="3" xfId="0" applyNumberFormat="1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/>
    </xf>
    <xf numFmtId="2" fontId="32" fillId="0" borderId="3" xfId="0" applyNumberFormat="1" applyFont="1" applyFill="1" applyBorder="1" applyAlignment="1">
      <alignment horizontal="center" vertical="center"/>
    </xf>
    <xf numFmtId="173" fontId="32" fillId="10" borderId="3" xfId="0" applyNumberFormat="1" applyFont="1" applyFill="1" applyBorder="1" applyAlignment="1">
      <alignment horizontal="center" vertical="center"/>
    </xf>
    <xf numFmtId="165" fontId="32" fillId="0" borderId="4" xfId="0" applyNumberFormat="1" applyFont="1" applyFill="1" applyBorder="1" applyAlignment="1">
      <alignment horizontal="center" vertical="center"/>
    </xf>
    <xf numFmtId="2" fontId="34" fillId="0" borderId="4" xfId="0" applyNumberFormat="1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center" vertical="center"/>
    </xf>
    <xf numFmtId="2" fontId="32" fillId="0" borderId="4" xfId="0" applyNumberFormat="1" applyFont="1" applyFill="1" applyBorder="1" applyAlignment="1">
      <alignment horizontal="center" vertical="center"/>
    </xf>
    <xf numFmtId="175" fontId="32" fillId="0" borderId="2" xfId="0" applyNumberFormat="1" applyFont="1" applyBorder="1" applyAlignment="1">
      <alignment horizontal="center" vertical="center"/>
    </xf>
    <xf numFmtId="2" fontId="32" fillId="0" borderId="2" xfId="0" applyNumberFormat="1" applyFont="1" applyBorder="1" applyAlignment="1">
      <alignment horizontal="center" vertical="center"/>
    </xf>
    <xf numFmtId="165" fontId="32" fillId="0" borderId="3" xfId="0" applyNumberFormat="1" applyFont="1" applyFill="1" applyBorder="1" applyAlignment="1">
      <alignment horizontal="left" vertical="center" wrapText="1"/>
    </xf>
    <xf numFmtId="170" fontId="34" fillId="10" borderId="3" xfId="0" applyNumberFormat="1" applyFont="1" applyFill="1" applyBorder="1" applyAlignment="1">
      <alignment horizontal="center" vertical="center"/>
    </xf>
    <xf numFmtId="171" fontId="32" fillId="0" borderId="3" xfId="0" applyNumberFormat="1" applyFont="1" applyBorder="1" applyAlignment="1">
      <alignment horizontal="center" vertical="center"/>
    </xf>
    <xf numFmtId="2" fontId="32" fillId="0" borderId="3" xfId="0" applyNumberFormat="1" applyFont="1" applyBorder="1" applyAlignment="1">
      <alignment horizontal="center" vertical="center"/>
    </xf>
    <xf numFmtId="169" fontId="32" fillId="0" borderId="3" xfId="1" applyNumberFormat="1" applyFont="1" applyFill="1" applyBorder="1" applyAlignment="1">
      <alignment vertical="center"/>
    </xf>
    <xf numFmtId="170" fontId="34" fillId="10" borderId="4" xfId="0" applyNumberFormat="1" applyFont="1" applyFill="1" applyBorder="1" applyAlignment="1">
      <alignment horizontal="center" vertical="center"/>
    </xf>
    <xf numFmtId="171" fontId="32" fillId="0" borderId="4" xfId="0" applyNumberFormat="1" applyFont="1" applyBorder="1" applyAlignment="1">
      <alignment horizontal="center" vertical="center"/>
    </xf>
    <xf numFmtId="2" fontId="32" fillId="0" borderId="4" xfId="0" applyNumberFormat="1" applyFont="1" applyBorder="1" applyAlignment="1">
      <alignment horizontal="center" vertical="center"/>
    </xf>
    <xf numFmtId="169" fontId="32" fillId="0" borderId="4" xfId="1" applyNumberFormat="1" applyFont="1" applyFill="1" applyBorder="1" applyAlignment="1">
      <alignment vertical="center"/>
    </xf>
    <xf numFmtId="2" fontId="31" fillId="3" borderId="14" xfId="0" applyNumberFormat="1" applyFont="1" applyFill="1" applyBorder="1" applyAlignment="1">
      <alignment horizontal="left" vertical="center"/>
    </xf>
    <xf numFmtId="2" fontId="31" fillId="3" borderId="14" xfId="0" applyNumberFormat="1" applyFont="1" applyFill="1" applyBorder="1" applyAlignment="1">
      <alignment horizontal="center" vertical="center"/>
    </xf>
    <xf numFmtId="169" fontId="31" fillId="3" borderId="14" xfId="1" applyNumberFormat="1" applyFont="1" applyFill="1" applyBorder="1" applyAlignment="1">
      <alignment horizontal="left" vertical="center"/>
    </xf>
    <xf numFmtId="169" fontId="31" fillId="3" borderId="14" xfId="1" applyNumberFormat="1" applyFont="1" applyFill="1" applyBorder="1" applyAlignment="1">
      <alignment horizontal="center" vertical="center"/>
    </xf>
    <xf numFmtId="0" fontId="32" fillId="0" borderId="2" xfId="0" applyNumberFormat="1" applyFont="1" applyFill="1" applyBorder="1" applyAlignment="1">
      <alignment horizontal="left" vertical="center"/>
    </xf>
    <xf numFmtId="170" fontId="35" fillId="0" borderId="2" xfId="0" applyNumberFormat="1" applyFont="1" applyBorder="1" applyAlignment="1">
      <alignment horizontal="center" vertical="center"/>
    </xf>
    <xf numFmtId="173" fontId="32" fillId="0" borderId="2" xfId="0" applyNumberFormat="1" applyFont="1" applyBorder="1" applyAlignment="1">
      <alignment vertical="center"/>
    </xf>
    <xf numFmtId="171" fontId="32" fillId="0" borderId="2" xfId="0" applyNumberFormat="1" applyFont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4" fillId="0" borderId="3" xfId="0" applyNumberFormat="1" applyFont="1" applyBorder="1" applyAlignment="1">
      <alignment horizontal="left" vertical="center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vertical="center"/>
    </xf>
    <xf numFmtId="2" fontId="34" fillId="0" borderId="3" xfId="0" applyNumberFormat="1" applyFont="1" applyBorder="1" applyAlignment="1">
      <alignment horizontal="center" vertical="center"/>
    </xf>
    <xf numFmtId="2" fontId="34" fillId="0" borderId="3" xfId="0" applyNumberFormat="1" applyFont="1" applyBorder="1" applyAlignment="1">
      <alignment horizontal="left" vertical="center"/>
    </xf>
    <xf numFmtId="2" fontId="34" fillId="0" borderId="4" xfId="0" applyNumberFormat="1" applyFont="1" applyBorder="1" applyAlignment="1">
      <alignment horizontal="left" vertical="center"/>
    </xf>
    <xf numFmtId="0" fontId="32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vertical="center"/>
    </xf>
    <xf numFmtId="2" fontId="34" fillId="0" borderId="4" xfId="0" applyNumberFormat="1" applyFont="1" applyBorder="1" applyAlignment="1">
      <alignment horizontal="center" vertical="center"/>
    </xf>
    <xf numFmtId="165" fontId="32" fillId="0" borderId="2" xfId="0" applyNumberFormat="1" applyFont="1" applyFill="1" applyBorder="1" applyAlignment="1">
      <alignment horizontal="left" vertical="center"/>
    </xf>
    <xf numFmtId="165" fontId="32" fillId="0" borderId="2" xfId="0" applyNumberFormat="1" applyFont="1" applyFill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1" fontId="32" fillId="0" borderId="3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1" fontId="31" fillId="3" borderId="1" xfId="0" applyNumberFormat="1" applyFont="1" applyFill="1" applyBorder="1" applyAlignment="1">
      <alignment horizontal="center" vertical="center"/>
    </xf>
    <xf numFmtId="2" fontId="34" fillId="0" borderId="2" xfId="0" applyNumberFormat="1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2" fontId="31" fillId="0" borderId="3" xfId="0" applyNumberFormat="1" applyFont="1" applyFill="1" applyBorder="1" applyAlignment="1">
      <alignment horizontal="left" vertical="center"/>
    </xf>
    <xf numFmtId="2" fontId="31" fillId="10" borderId="3" xfId="0" applyNumberFormat="1" applyFont="1" applyFill="1" applyBorder="1" applyAlignment="1">
      <alignment horizontal="center" vertical="center"/>
    </xf>
    <xf numFmtId="2" fontId="31" fillId="10" borderId="3" xfId="0" applyNumberFormat="1" applyFont="1" applyFill="1" applyBorder="1" applyAlignment="1">
      <alignment horizontal="left" vertical="center"/>
    </xf>
    <xf numFmtId="169" fontId="34" fillId="0" borderId="3" xfId="1" applyNumberFormat="1" applyFont="1" applyFill="1" applyBorder="1" applyAlignment="1">
      <alignment horizontal="left" vertical="center"/>
    </xf>
    <xf numFmtId="169" fontId="31" fillId="0" borderId="3" xfId="1" applyNumberFormat="1" applyFont="1" applyFill="1" applyBorder="1" applyAlignment="1">
      <alignment horizontal="center" vertical="center"/>
    </xf>
    <xf numFmtId="2" fontId="31" fillId="0" borderId="4" xfId="0" applyNumberFormat="1" applyFont="1" applyFill="1" applyBorder="1" applyAlignment="1">
      <alignment horizontal="left" vertical="center"/>
    </xf>
    <xf numFmtId="2" fontId="31" fillId="10" borderId="4" xfId="0" applyNumberFormat="1" applyFont="1" applyFill="1" applyBorder="1" applyAlignment="1">
      <alignment horizontal="center" vertical="center"/>
    </xf>
    <xf numFmtId="2" fontId="31" fillId="10" borderId="4" xfId="0" applyNumberFormat="1" applyFont="1" applyFill="1" applyBorder="1" applyAlignment="1">
      <alignment horizontal="left" vertical="center"/>
    </xf>
    <xf numFmtId="169" fontId="34" fillId="0" borderId="4" xfId="1" applyNumberFormat="1" applyFont="1" applyFill="1" applyBorder="1" applyAlignment="1">
      <alignment horizontal="left" vertical="center"/>
    </xf>
    <xf numFmtId="169" fontId="31" fillId="0" borderId="4" xfId="1" applyNumberFormat="1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vertical="center"/>
    </xf>
    <xf numFmtId="171" fontId="31" fillId="3" borderId="1" xfId="0" applyNumberFormat="1" applyFont="1" applyFill="1" applyBorder="1" applyAlignment="1">
      <alignment horizontal="center" vertical="center"/>
    </xf>
    <xf numFmtId="169" fontId="31" fillId="3" borderId="1" xfId="1" applyNumberFormat="1" applyFont="1" applyFill="1" applyBorder="1" applyAlignment="1">
      <alignment vertical="center"/>
    </xf>
    <xf numFmtId="0" fontId="31" fillId="3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31" fillId="2" borderId="9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169" fontId="31" fillId="2" borderId="1" xfId="1" applyNumberFormat="1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</cellXfs>
  <cellStyles count="5">
    <cellStyle name="Comma" xfId="1" builtinId="3"/>
    <cellStyle name="Comma 2" xfId="3" xr:uid="{411061B5-985B-4D7E-A386-36A8BFD12E0F}"/>
    <cellStyle name="Normal" xfId="0" builtinId="0"/>
    <cellStyle name="Percent" xfId="2" builtinId="5"/>
    <cellStyle name="Percent 2" xfId="4" xr:uid="{79D90CBF-723F-4FD6-A15F-78E858620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108697</xdr:colOff>
      <xdr:row>0</xdr:row>
      <xdr:rowOff>93008</xdr:rowOff>
    </xdr:from>
    <xdr:to>
      <xdr:col>1</xdr:col>
      <xdr:colOff>889747</xdr:colOff>
      <xdr:row>2</xdr:row>
      <xdr:rowOff>169208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DF6A0-277C-4A66-AA3B-0B9325B1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92" y="96818"/>
          <a:ext cx="116776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146049</xdr:colOff>
      <xdr:row>0</xdr:row>
      <xdr:rowOff>73024</xdr:rowOff>
    </xdr:from>
    <xdr:to>
      <xdr:col>1</xdr:col>
      <xdr:colOff>1139272</xdr:colOff>
      <xdr:row>2</xdr:row>
      <xdr:rowOff>269875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63D0AD-1F29-42BC-A4B1-F33852DDF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44" y="73024"/>
          <a:ext cx="1547578" cy="1063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12</xdr:col>
      <xdr:colOff>493924</xdr:colOff>
      <xdr:row>8</xdr:row>
      <xdr:rowOff>76719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79FDA-822D-4813-84B1-4A2DF5623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1275" y="0"/>
          <a:ext cx="1751224" cy="15245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504824</xdr:colOff>
      <xdr:row>0</xdr:row>
      <xdr:rowOff>0</xdr:rowOff>
    </xdr:from>
    <xdr:to>
      <xdr:col>13</xdr:col>
      <xdr:colOff>207236</xdr:colOff>
      <xdr:row>10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80A57-2224-4BBB-8810-E83E6742F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3654" y="0"/>
          <a:ext cx="2100807" cy="18783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504824</xdr:colOff>
      <xdr:row>0</xdr:row>
      <xdr:rowOff>0</xdr:rowOff>
    </xdr:from>
    <xdr:to>
      <xdr:col>13</xdr:col>
      <xdr:colOff>190262</xdr:colOff>
      <xdr:row>11</xdr:row>
      <xdr:rowOff>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35DD8F80-EEDF-4C65-AF94-99B1A06BC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41" t="19000" r="48056" b="23778"/>
        <a:stretch>
          <a:fillRect/>
        </a:stretch>
      </xdr:blipFill>
      <xdr:spPr bwMode="auto">
        <a:xfrm>
          <a:off x="10193654" y="0"/>
          <a:ext cx="2083833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swindowsvn-my.sharepoint.com/personal/dung_nguyenthi_wswindows_com/Documents/Desktop/BAO%20GIA%20-%20NHOM%20KINH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GTONGHOPCP (BK)"/>
      <sheetName val="DOC TIEN"/>
      <sheetName val="TEST"/>
      <sheetName val="CHI PHI TAI CHINH"/>
      <sheetName val="BANG THIET BI THI CONG"/>
      <sheetName val="GIA VAN CHUYEN"/>
      <sheetName val="BANGTONGHOPCP"/>
      <sheetName val="CPHoanThien"/>
      <sheetName val="PHU KIEN CLTD"/>
      <sheetName val="PKCN-50+65"/>
      <sheetName val="PKCN-55+93"/>
      <sheetName val="PKBLS"/>
      <sheetName val="PKVKT"/>
      <sheetName val="Banggiaphukien"/>
      <sheetName val="ALUDATA"/>
      <sheetName val="THIET DAT"/>
      <sheetName val="SUMMARY"/>
      <sheetName val="DETAIL"/>
      <sheetName val="BKL"/>
      <sheetName val="QUANTITY"/>
      <sheetName val="CSL-50"/>
      <sheetName val="CDL-65"/>
      <sheetName val="CSB-50"/>
      <sheetName val="CDMQ-50"/>
      <sheetName val="VKT"/>
      <sheetName val="TONGHOP"/>
      <sheetName val="CSL-50.01"/>
      <sheetName val="CSL-50.02"/>
      <sheetName val="CSL-50.03"/>
      <sheetName val="CSL-50.04"/>
      <sheetName val="CDL-65.01"/>
      <sheetName val="CDL-65.02"/>
      <sheetName val="CDL-65.03"/>
      <sheetName val="CDL-65.04"/>
      <sheetName val="CSB-50.01"/>
      <sheetName val="CSB-50.02"/>
      <sheetName val="CSB-50.03"/>
      <sheetName val="CSB-50.04"/>
      <sheetName val="CSB-50.05"/>
      <sheetName val="CSB-50.06"/>
      <sheetName val="CSB-50.07"/>
      <sheetName val="CSB-50.08"/>
      <sheetName val="CSB-50.09"/>
      <sheetName val="CSB-50.10"/>
      <sheetName val="CDMQ-50.01"/>
      <sheetName val="CDMQ-50.02"/>
      <sheetName val="CDMQ-50.03"/>
      <sheetName val="CDMQ-50.04"/>
      <sheetName val="CDMQ-50.05"/>
      <sheetName val="CDMQ-50.06"/>
      <sheetName val="CDMQ-50.07"/>
      <sheetName val="CDMQ-50.08"/>
      <sheetName val="CDMQ-50.09"/>
      <sheetName val="CDMQ-50.10"/>
      <sheetName val="CDMQ-50.11"/>
      <sheetName val="CDMQ-50.12"/>
      <sheetName val="CDMQ-50.13"/>
      <sheetName val="CDMQ-50.14"/>
      <sheetName val="VKT.01"/>
      <sheetName val="VKT.02"/>
      <sheetName val="VKT.03"/>
      <sheetName val="VKT.04"/>
      <sheetName val="VKT.05"/>
      <sheetName val="VKT.06"/>
      <sheetName val="VKT.07"/>
    </sheetNames>
    <sheetDataSet>
      <sheetData sheetId="0"/>
      <sheetData sheetId="1"/>
      <sheetData sheetId="2"/>
      <sheetData sheetId="3">
        <row r="22">
          <cell r="I22">
            <v>100000</v>
          </cell>
        </row>
      </sheetData>
      <sheetData sheetId="4"/>
      <sheetData sheetId="5"/>
      <sheetData sheetId="6"/>
      <sheetData sheetId="7"/>
      <sheetData sheetId="8">
        <row r="2">
          <cell r="C2">
            <v>1.05</v>
          </cell>
        </row>
      </sheetData>
      <sheetData sheetId="9">
        <row r="2">
          <cell r="A2" t="str">
            <v>Draho</v>
          </cell>
        </row>
        <row r="5">
          <cell r="D5" t="str">
            <v>Tên</v>
          </cell>
          <cell r="E5" t="str">
            <v>Số lượng</v>
          </cell>
        </row>
        <row r="6">
          <cell r="D6" t="str">
            <v>bản lề 3D</v>
          </cell>
          <cell r="E6">
            <v>3</v>
          </cell>
        </row>
        <row r="7">
          <cell r="D7" t="str">
            <v>bản lề 4D</v>
          </cell>
          <cell r="E7">
            <v>0</v>
          </cell>
        </row>
        <row r="8">
          <cell r="D8" t="str">
            <v>tay nắm</v>
          </cell>
          <cell r="E8">
            <v>1</v>
          </cell>
        </row>
        <row r="9">
          <cell r="D9" t="str">
            <v>thân khóa đa điểm</v>
          </cell>
          <cell r="E9">
            <v>1</v>
          </cell>
        </row>
        <row r="10">
          <cell r="D10" t="str">
            <v>thân khóa đơn điểm</v>
          </cell>
          <cell r="E10">
            <v>0</v>
          </cell>
        </row>
        <row r="11">
          <cell r="D11" t="str">
            <v>đầu nối đa điểm</v>
          </cell>
          <cell r="E11">
            <v>2</v>
          </cell>
        </row>
        <row r="12">
          <cell r="D12" t="str">
            <v>miệng ốp</v>
          </cell>
          <cell r="E12">
            <v>1</v>
          </cell>
        </row>
        <row r="13">
          <cell r="D13" t="str">
            <v>thanh truyền</v>
          </cell>
          <cell r="E13">
            <v>2</v>
          </cell>
        </row>
        <row r="14">
          <cell r="D14" t="str">
            <v>lõi khóa</v>
          </cell>
          <cell r="E14">
            <v>1</v>
          </cell>
        </row>
        <row r="15">
          <cell r="D15" t="str">
            <v>vấu khóa cửa đi</v>
          </cell>
          <cell r="E15">
            <v>2</v>
          </cell>
        </row>
        <row r="16">
          <cell r="D16" t="str">
            <v>chốt cánh phụ</v>
          </cell>
          <cell r="E16">
            <v>0</v>
          </cell>
        </row>
        <row r="17">
          <cell r="D17" t="str">
            <v>hãm chốt cánh phụ</v>
          </cell>
          <cell r="E17">
            <v>0</v>
          </cell>
        </row>
        <row r="18">
          <cell r="D18" t="str">
            <v>CDMQ50-1C</v>
          </cell>
          <cell r="E18" t="str">
            <v>- Phụ kiện bản lề 3D, thân khóa đa điểm đồng bộ Draho</v>
          </cell>
        </row>
        <row r="20">
          <cell r="D20" t="str">
            <v>Tên</v>
          </cell>
          <cell r="E20" t="str">
            <v>Số lượng</v>
          </cell>
        </row>
        <row r="21">
          <cell r="D21" t="str">
            <v>bản lề 3D</v>
          </cell>
          <cell r="E21">
            <v>6</v>
          </cell>
        </row>
        <row r="22">
          <cell r="D22" t="str">
            <v>bản lề 4D</v>
          </cell>
          <cell r="E22">
            <v>0</v>
          </cell>
        </row>
        <row r="23">
          <cell r="D23" t="str">
            <v>tay nắm</v>
          </cell>
          <cell r="E23">
            <v>1</v>
          </cell>
        </row>
        <row r="24">
          <cell r="D24" t="str">
            <v>thân khóa đa điểm</v>
          </cell>
          <cell r="E24">
            <v>1</v>
          </cell>
        </row>
        <row r="25">
          <cell r="D25" t="str">
            <v>thân khóa đơn điểm</v>
          </cell>
          <cell r="E25">
            <v>0</v>
          </cell>
        </row>
        <row r="26">
          <cell r="D26" t="str">
            <v>đầu nối đa điểm</v>
          </cell>
          <cell r="E26">
            <v>2</v>
          </cell>
        </row>
        <row r="27">
          <cell r="D27" t="str">
            <v>miệng ốp</v>
          </cell>
          <cell r="E27">
            <v>1</v>
          </cell>
        </row>
        <row r="28">
          <cell r="D28" t="str">
            <v>thanh truyền</v>
          </cell>
          <cell r="E28">
            <v>2</v>
          </cell>
        </row>
        <row r="29">
          <cell r="D29" t="str">
            <v>lõi khóa</v>
          </cell>
          <cell r="E29">
            <v>1</v>
          </cell>
        </row>
        <row r="30">
          <cell r="D30" t="str">
            <v>vấu khóa cửa đi</v>
          </cell>
          <cell r="E30">
            <v>2</v>
          </cell>
        </row>
        <row r="31">
          <cell r="D31" t="str">
            <v>chốt cánh phụ</v>
          </cell>
          <cell r="E31">
            <v>2</v>
          </cell>
        </row>
        <row r="32">
          <cell r="D32" t="str">
            <v>hãm chốt cánh phụ</v>
          </cell>
          <cell r="E32">
            <v>2</v>
          </cell>
        </row>
        <row r="33">
          <cell r="D33" t="str">
            <v>CDMQ50-2C</v>
          </cell>
          <cell r="E33" t="str">
            <v>- Phụ kiện bản lề 3D, thân khóa đa điểm đồng bộ Draho</v>
          </cell>
        </row>
        <row r="35">
          <cell r="D35" t="str">
            <v>Tên</v>
          </cell>
          <cell r="E35" t="str">
            <v>Số lượng</v>
          </cell>
        </row>
        <row r="36">
          <cell r="D36" t="str">
            <v>bản lề 3D</v>
          </cell>
          <cell r="E36">
            <v>16</v>
          </cell>
        </row>
        <row r="37">
          <cell r="D37" t="str">
            <v>bản lề 4D</v>
          </cell>
          <cell r="E37">
            <v>0</v>
          </cell>
        </row>
        <row r="38">
          <cell r="D38" t="str">
            <v>tay nắm</v>
          </cell>
          <cell r="E38">
            <v>1</v>
          </cell>
        </row>
        <row r="39">
          <cell r="D39" t="str">
            <v>thân khóa đa điểm</v>
          </cell>
          <cell r="E39">
            <v>1</v>
          </cell>
        </row>
        <row r="40">
          <cell r="D40" t="str">
            <v>thân khóa đơn điểm</v>
          </cell>
          <cell r="E40">
            <v>0</v>
          </cell>
        </row>
        <row r="41">
          <cell r="D41" t="str">
            <v>đầu nối đa điểm</v>
          </cell>
          <cell r="E41">
            <v>2</v>
          </cell>
        </row>
        <row r="42">
          <cell r="D42" t="str">
            <v>miệng ốp</v>
          </cell>
          <cell r="E42">
            <v>1</v>
          </cell>
        </row>
        <row r="43">
          <cell r="D43" t="str">
            <v>thanh truyền</v>
          </cell>
          <cell r="E43">
            <v>2</v>
          </cell>
        </row>
        <row r="44">
          <cell r="D44" t="str">
            <v>lõi khóa</v>
          </cell>
          <cell r="E44">
            <v>1</v>
          </cell>
        </row>
        <row r="45">
          <cell r="D45" t="str">
            <v>vấu khóa cửa đi</v>
          </cell>
          <cell r="E45">
            <v>2</v>
          </cell>
        </row>
        <row r="46">
          <cell r="D46" t="str">
            <v>chốt cánh phụ</v>
          </cell>
          <cell r="E46">
            <v>6</v>
          </cell>
        </row>
        <row r="47">
          <cell r="D47" t="str">
            <v>hãm chốt cánh phụ</v>
          </cell>
          <cell r="E47">
            <v>6</v>
          </cell>
        </row>
        <row r="48">
          <cell r="D48" t="str">
            <v>CDMQ50-4C</v>
          </cell>
          <cell r="E48" t="str">
            <v>- Phụ kiện bản lề 3D, thân khóa đa điểm đồng bộ Draho</v>
          </cell>
        </row>
        <row r="50">
          <cell r="D50" t="str">
            <v>Tên</v>
          </cell>
          <cell r="E50" t="str">
            <v>Số lượng</v>
          </cell>
        </row>
        <row r="51">
          <cell r="D51" t="str">
            <v>tay nắm (khóa đa điểm)</v>
          </cell>
          <cell r="E51">
            <v>0</v>
          </cell>
        </row>
        <row r="52">
          <cell r="D52" t="str">
            <v>thanh truyền động</v>
          </cell>
          <cell r="E52">
            <v>0</v>
          </cell>
        </row>
        <row r="53">
          <cell r="D53" t="str">
            <v>vấu hãm</v>
          </cell>
          <cell r="E53">
            <v>0</v>
          </cell>
        </row>
        <row r="54">
          <cell r="D54" t="str">
            <v>khóa âm</v>
          </cell>
          <cell r="E54">
            <v>0</v>
          </cell>
        </row>
        <row r="55">
          <cell r="D55" t="str">
            <v>vấu khoá sập</v>
          </cell>
          <cell r="E55">
            <v>0</v>
          </cell>
        </row>
        <row r="56">
          <cell r="D56" t="str">
            <v>tay nắm chữ D</v>
          </cell>
          <cell r="E56">
            <v>2</v>
          </cell>
        </row>
        <row r="57">
          <cell r="D57" t="str">
            <v>vấu khóa</v>
          </cell>
          <cell r="E57">
            <v>2</v>
          </cell>
        </row>
        <row r="58">
          <cell r="D58" t="str">
            <v>đệm chống nhấc (đỉnh)</v>
          </cell>
          <cell r="E58">
            <v>1</v>
          </cell>
        </row>
        <row r="59">
          <cell r="D59" t="str">
            <v>đệm chống va đập</v>
          </cell>
          <cell r="E59">
            <v>1</v>
          </cell>
        </row>
        <row r="60">
          <cell r="D60" t="str">
            <v>đệm chống va đập</v>
          </cell>
          <cell r="E60">
            <v>4</v>
          </cell>
        </row>
        <row r="61">
          <cell r="D61" t="str">
            <v>đệm chống va đập</v>
          </cell>
          <cell r="E61">
            <v>4</v>
          </cell>
        </row>
        <row r="62">
          <cell r="D62" t="str">
            <v>đệm dẫn hướng</v>
          </cell>
          <cell r="E62">
            <v>2</v>
          </cell>
        </row>
        <row r="63">
          <cell r="D63" t="str">
            <v>đệm dẫn hướng</v>
          </cell>
          <cell r="E63">
            <v>2</v>
          </cell>
        </row>
        <row r="64">
          <cell r="D64" t="str">
            <v>đệm dẫn hướng</v>
          </cell>
          <cell r="E64">
            <v>2</v>
          </cell>
        </row>
        <row r="65">
          <cell r="D65" t="str">
            <v>đệm dẫn hướng</v>
          </cell>
          <cell r="E65">
            <v>2</v>
          </cell>
        </row>
        <row r="66">
          <cell r="D66" t="str">
            <v>bánh xe đôi</v>
          </cell>
          <cell r="E66">
            <v>4</v>
          </cell>
        </row>
        <row r="67">
          <cell r="D67" t="str">
            <v>CDL65-2C</v>
          </cell>
          <cell r="E67" t="str">
            <v>- Phụ kiện bánh xe đôi, tay nắm chữ D đồng bộ Draho</v>
          </cell>
        </row>
        <row r="69">
          <cell r="D69" t="str">
            <v>Tên</v>
          </cell>
          <cell r="E69" t="str">
            <v>Số lượng</v>
          </cell>
        </row>
        <row r="70">
          <cell r="D70" t="str">
            <v>tay nắm (khóa đa điểm)</v>
          </cell>
          <cell r="E70">
            <v>0</v>
          </cell>
        </row>
        <row r="71">
          <cell r="D71" t="str">
            <v>thanh truyền động</v>
          </cell>
          <cell r="E71">
            <v>0</v>
          </cell>
        </row>
        <row r="72">
          <cell r="D72" t="str">
            <v>vấu hãm</v>
          </cell>
          <cell r="E72">
            <v>0</v>
          </cell>
        </row>
        <row r="73">
          <cell r="D73" t="str">
            <v>khóa âm</v>
          </cell>
          <cell r="E73">
            <v>0</v>
          </cell>
        </row>
        <row r="74">
          <cell r="D74" t="str">
            <v>vấu khoá sập</v>
          </cell>
          <cell r="E74">
            <v>0</v>
          </cell>
        </row>
        <row r="75">
          <cell r="D75" t="str">
            <v>tay nắm chữ D</v>
          </cell>
          <cell r="E75">
            <v>2</v>
          </cell>
        </row>
        <row r="76">
          <cell r="D76" t="str">
            <v>vấu khóa</v>
          </cell>
          <cell r="E76">
            <v>2</v>
          </cell>
        </row>
        <row r="77">
          <cell r="D77" t="str">
            <v>đệm chống nhấc (đỉnh)</v>
          </cell>
          <cell r="E77">
            <v>2</v>
          </cell>
        </row>
        <row r="78">
          <cell r="D78" t="str">
            <v>đệm chống va đập</v>
          </cell>
          <cell r="E78">
            <v>2</v>
          </cell>
        </row>
        <row r="79">
          <cell r="D79" t="str">
            <v>đệm chống va đập</v>
          </cell>
          <cell r="E79">
            <v>4</v>
          </cell>
        </row>
        <row r="80">
          <cell r="D80" t="str">
            <v>đệm chống va đập</v>
          </cell>
          <cell r="E80">
            <v>4</v>
          </cell>
        </row>
        <row r="81">
          <cell r="D81" t="str">
            <v>đệm dẫn hướng</v>
          </cell>
          <cell r="E81">
            <v>3</v>
          </cell>
        </row>
        <row r="82">
          <cell r="D82" t="str">
            <v>đệm dẫn hướng</v>
          </cell>
          <cell r="E82">
            <v>3</v>
          </cell>
        </row>
        <row r="83">
          <cell r="D83" t="str">
            <v>đệm dẫn hướng</v>
          </cell>
          <cell r="E83">
            <v>3</v>
          </cell>
        </row>
        <row r="84">
          <cell r="D84" t="str">
            <v>đệm dẫn hướng</v>
          </cell>
          <cell r="E84">
            <v>3</v>
          </cell>
        </row>
        <row r="85">
          <cell r="D85" t="str">
            <v>bánh xe đôi</v>
          </cell>
          <cell r="E85">
            <v>6</v>
          </cell>
        </row>
        <row r="86">
          <cell r="D86" t="str">
            <v>CDL65-3C</v>
          </cell>
          <cell r="E86" t="str">
            <v>- Phụ kiện bánh xe đôi, tay nắm chữ D đồng bộ Draho</v>
          </cell>
        </row>
        <row r="88">
          <cell r="D88" t="str">
            <v>Tên</v>
          </cell>
          <cell r="E88" t="str">
            <v>Số lượng</v>
          </cell>
        </row>
        <row r="89">
          <cell r="D89" t="str">
            <v>tay nắm (khóa đa điểm)</v>
          </cell>
          <cell r="E89">
            <v>0</v>
          </cell>
        </row>
        <row r="90">
          <cell r="D90" t="str">
            <v>thanh truyền động</v>
          </cell>
          <cell r="E90">
            <v>0</v>
          </cell>
        </row>
        <row r="91">
          <cell r="D91" t="str">
            <v>vấu hãm</v>
          </cell>
          <cell r="E91">
            <v>0</v>
          </cell>
        </row>
        <row r="92">
          <cell r="D92" t="str">
            <v>khóa âm</v>
          </cell>
          <cell r="E92">
            <v>0</v>
          </cell>
        </row>
        <row r="93">
          <cell r="D93" t="str">
            <v>vấu khoá sập</v>
          </cell>
          <cell r="E93">
            <v>0</v>
          </cell>
        </row>
        <row r="94">
          <cell r="D94" t="str">
            <v>tay nắm chữ D</v>
          </cell>
          <cell r="E94">
            <v>3</v>
          </cell>
        </row>
        <row r="95">
          <cell r="D95" t="str">
            <v>vấu khóa</v>
          </cell>
          <cell r="E95">
            <v>3</v>
          </cell>
        </row>
        <row r="96">
          <cell r="D96" t="str">
            <v>đệm chống nhấc (đỉnh)</v>
          </cell>
          <cell r="E96">
            <v>3</v>
          </cell>
        </row>
        <row r="97">
          <cell r="D97" t="str">
            <v>đệm chống va đập</v>
          </cell>
          <cell r="E97">
            <v>2</v>
          </cell>
        </row>
        <row r="98">
          <cell r="D98" t="str">
            <v>đệm chống va đập</v>
          </cell>
          <cell r="E98">
            <v>4</v>
          </cell>
        </row>
        <row r="99">
          <cell r="D99" t="str">
            <v>đệm chống va đập</v>
          </cell>
          <cell r="E99">
            <v>4</v>
          </cell>
        </row>
        <row r="100">
          <cell r="D100" t="str">
            <v>đệm dẫn hướng</v>
          </cell>
          <cell r="E100">
            <v>4</v>
          </cell>
        </row>
        <row r="101">
          <cell r="D101" t="str">
            <v>đệm dẫn hướng</v>
          </cell>
          <cell r="E101">
            <v>4</v>
          </cell>
        </row>
        <row r="102">
          <cell r="D102" t="str">
            <v>đệm dẫn hướng</v>
          </cell>
          <cell r="E102">
            <v>4</v>
          </cell>
        </row>
        <row r="103">
          <cell r="D103" t="str">
            <v>đệm dẫn hướng</v>
          </cell>
          <cell r="E103">
            <v>4</v>
          </cell>
        </row>
        <row r="104">
          <cell r="D104" t="str">
            <v>bánh xe đôi</v>
          </cell>
          <cell r="E104">
            <v>8</v>
          </cell>
        </row>
        <row r="105">
          <cell r="D105" t="str">
            <v>CDL65-4C</v>
          </cell>
          <cell r="E105" t="str">
            <v>- Phụ kiện bánh xe đôi, tay nắm chữ D đồng bộ Draho</v>
          </cell>
        </row>
        <row r="107">
          <cell r="D107" t="str">
            <v>Tên</v>
          </cell>
          <cell r="E107" t="str">
            <v>Số lượng</v>
          </cell>
        </row>
        <row r="108">
          <cell r="D108" t="str">
            <v>tay nắm</v>
          </cell>
          <cell r="E108">
            <v>1</v>
          </cell>
        </row>
        <row r="109">
          <cell r="D109" t="str">
            <v>bản lề chữ A (16 inch)</v>
          </cell>
          <cell r="E109">
            <v>2</v>
          </cell>
        </row>
        <row r="110">
          <cell r="D110" t="str">
            <v>tay chống sao</v>
          </cell>
          <cell r="E110">
            <v>2</v>
          </cell>
        </row>
        <row r="111">
          <cell r="D111" t="str">
            <v>khóa giữa (nhựa)</v>
          </cell>
          <cell r="E111">
            <v>1</v>
          </cell>
        </row>
        <row r="112">
          <cell r="D112" t="str">
            <v>chống sệ (cánh)</v>
          </cell>
          <cell r="E112">
            <v>2</v>
          </cell>
        </row>
        <row r="113">
          <cell r="D113" t="str">
            <v>chống sệ (khung bao)</v>
          </cell>
          <cell r="E113">
            <v>2</v>
          </cell>
        </row>
        <row r="114">
          <cell r="D114" t="str">
            <v>CSB(1D)50-1C</v>
          </cell>
          <cell r="E114" t="str">
            <v>- Phụ kiện tay nắm, bản lề chữ A đồng bộ Draho</v>
          </cell>
        </row>
        <row r="116">
          <cell r="D116" t="str">
            <v>Tên</v>
          </cell>
          <cell r="E116" t="str">
            <v>Số lượng</v>
          </cell>
        </row>
        <row r="117">
          <cell r="D117" t="str">
            <v>tay nắm</v>
          </cell>
          <cell r="E117">
            <v>1</v>
          </cell>
        </row>
        <row r="118">
          <cell r="D118" t="str">
            <v>vấu khóa</v>
          </cell>
          <cell r="E118">
            <v>2</v>
          </cell>
        </row>
        <row r="119">
          <cell r="D119" t="str">
            <v>thanh truyền động</v>
          </cell>
          <cell r="E119">
            <v>1</v>
          </cell>
        </row>
        <row r="120">
          <cell r="D120" t="str">
            <v>bản lề chữ A (16 inch)</v>
          </cell>
          <cell r="E120">
            <v>2</v>
          </cell>
        </row>
        <row r="121">
          <cell r="D121" t="str">
            <v>tay chống sao</v>
          </cell>
          <cell r="E121">
            <v>2</v>
          </cell>
        </row>
        <row r="122">
          <cell r="D122" t="str">
            <v>khóa giữa (nhựa)</v>
          </cell>
          <cell r="E122">
            <v>1</v>
          </cell>
        </row>
        <row r="123">
          <cell r="D123" t="str">
            <v>chống sệ (cánh)</v>
          </cell>
          <cell r="E123">
            <v>2</v>
          </cell>
        </row>
        <row r="124">
          <cell r="D124" t="str">
            <v>chống sệ (khung bao)</v>
          </cell>
          <cell r="E124">
            <v>2</v>
          </cell>
        </row>
        <row r="125">
          <cell r="D125" t="str">
            <v>CSB(2D)50-1C</v>
          </cell>
          <cell r="E125" t="str">
            <v>- Phụ kiện tay nắm, bản lề chữ A đồng bộ Draho</v>
          </cell>
        </row>
        <row r="127">
          <cell r="D127" t="str">
            <v>Tên</v>
          </cell>
          <cell r="E127" t="str">
            <v>Số lượng</v>
          </cell>
        </row>
        <row r="128">
          <cell r="D128" t="str">
            <v>khóa âm</v>
          </cell>
          <cell r="E128">
            <v>2</v>
          </cell>
        </row>
        <row r="129">
          <cell r="D129" t="str">
            <v>vấu khoá sập</v>
          </cell>
          <cell r="E129">
            <v>2</v>
          </cell>
        </row>
        <row r="130">
          <cell r="D130" t="str">
            <v>đệm chống nhấc (đỉnh)</v>
          </cell>
          <cell r="E130">
            <v>1</v>
          </cell>
        </row>
        <row r="131">
          <cell r="D131" t="str">
            <v>đệm chống va đập</v>
          </cell>
          <cell r="E131">
            <v>1</v>
          </cell>
        </row>
        <row r="132">
          <cell r="D132" t="str">
            <v>đệm chống va đập</v>
          </cell>
          <cell r="E132">
            <v>4</v>
          </cell>
        </row>
        <row r="133">
          <cell r="D133" t="str">
            <v>đệm chống va đập</v>
          </cell>
          <cell r="E133">
            <v>4</v>
          </cell>
        </row>
        <row r="134">
          <cell r="D134" t="str">
            <v>đệm dẫn hướng</v>
          </cell>
          <cell r="E134">
            <v>2</v>
          </cell>
        </row>
        <row r="135">
          <cell r="D135" t="str">
            <v>đệm dẫn hướng</v>
          </cell>
          <cell r="E135">
            <v>2</v>
          </cell>
        </row>
        <row r="136">
          <cell r="D136" t="str">
            <v>đệm dẫn hướng</v>
          </cell>
          <cell r="E136">
            <v>2</v>
          </cell>
        </row>
        <row r="137">
          <cell r="D137" t="str">
            <v>đệm dẫn hướng</v>
          </cell>
          <cell r="E137">
            <v>2</v>
          </cell>
        </row>
        <row r="138">
          <cell r="D138" t="str">
            <v>bánh xe đôi</v>
          </cell>
          <cell r="E138">
            <v>4</v>
          </cell>
        </row>
        <row r="139">
          <cell r="D139" t="str">
            <v>CSL50-2C</v>
          </cell>
          <cell r="E139" t="str">
            <v>- Phụ kiện bánh xe đôi, khóa âm đồng bộ Draho</v>
          </cell>
        </row>
        <row r="141">
          <cell r="D141" t="str">
            <v>Tên</v>
          </cell>
          <cell r="E141" t="str">
            <v>Số lượng</v>
          </cell>
        </row>
        <row r="142">
          <cell r="D142" t="str">
            <v>khóa âm</v>
          </cell>
          <cell r="E142">
            <v>2</v>
          </cell>
        </row>
        <row r="143">
          <cell r="D143" t="str">
            <v>vấu khoá sập</v>
          </cell>
          <cell r="E143">
            <v>2</v>
          </cell>
        </row>
        <row r="144">
          <cell r="D144" t="str">
            <v>đệm chống nhấc (đỉnh)</v>
          </cell>
          <cell r="E144">
            <v>2</v>
          </cell>
        </row>
        <row r="145">
          <cell r="D145" t="str">
            <v>đệm chống va đập</v>
          </cell>
          <cell r="E145">
            <v>2</v>
          </cell>
        </row>
        <row r="146">
          <cell r="D146" t="str">
            <v>đệm chống va đập</v>
          </cell>
          <cell r="E146">
            <v>4</v>
          </cell>
        </row>
        <row r="147">
          <cell r="D147" t="str">
            <v>đệm chống va đập</v>
          </cell>
          <cell r="E147">
            <v>4</v>
          </cell>
        </row>
        <row r="148">
          <cell r="D148" t="str">
            <v>đệm dẫn hướng</v>
          </cell>
          <cell r="E148">
            <v>3</v>
          </cell>
        </row>
        <row r="149">
          <cell r="D149" t="str">
            <v>đệm dẫn hướng</v>
          </cell>
          <cell r="E149">
            <v>3</v>
          </cell>
        </row>
        <row r="150">
          <cell r="D150" t="str">
            <v>đệm dẫn hướng</v>
          </cell>
          <cell r="E150">
            <v>3</v>
          </cell>
        </row>
        <row r="151">
          <cell r="D151" t="str">
            <v>đệm dẫn hướng</v>
          </cell>
          <cell r="E151">
            <v>3</v>
          </cell>
        </row>
        <row r="152">
          <cell r="D152" t="str">
            <v>bánh xe đôi</v>
          </cell>
          <cell r="E152">
            <v>6</v>
          </cell>
        </row>
        <row r="153">
          <cell r="D153" t="str">
            <v>CSL50-3C</v>
          </cell>
          <cell r="E153" t="str">
            <v>- Phụ kiện bánh xe đôi, khóa âm đồng bộ Draho</v>
          </cell>
        </row>
        <row r="155">
          <cell r="D155" t="str">
            <v>Tên</v>
          </cell>
          <cell r="E155" t="str">
            <v>Số lượng</v>
          </cell>
        </row>
        <row r="156">
          <cell r="D156" t="str">
            <v>khóa âm</v>
          </cell>
          <cell r="E156">
            <v>3</v>
          </cell>
        </row>
        <row r="157">
          <cell r="D157" t="str">
            <v>vấu khoá sập</v>
          </cell>
          <cell r="E157">
            <v>3</v>
          </cell>
        </row>
        <row r="158">
          <cell r="D158" t="str">
            <v>đệm chống nhấc (đỉnh)</v>
          </cell>
          <cell r="E158">
            <v>3</v>
          </cell>
        </row>
        <row r="159">
          <cell r="D159" t="str">
            <v>đệm chống va đập</v>
          </cell>
          <cell r="E159">
            <v>2</v>
          </cell>
        </row>
        <row r="160">
          <cell r="D160" t="str">
            <v>đệm chống va đập</v>
          </cell>
          <cell r="E160">
            <v>4</v>
          </cell>
        </row>
        <row r="161">
          <cell r="D161" t="str">
            <v>đệm chống va đập</v>
          </cell>
          <cell r="E161">
            <v>4</v>
          </cell>
        </row>
        <row r="162">
          <cell r="D162" t="str">
            <v>đệm dẫn hướng</v>
          </cell>
          <cell r="E162">
            <v>4</v>
          </cell>
        </row>
        <row r="163">
          <cell r="D163" t="str">
            <v>đệm dẫn hướng</v>
          </cell>
          <cell r="E163">
            <v>4</v>
          </cell>
        </row>
        <row r="164">
          <cell r="D164" t="str">
            <v>đệm dẫn hướng</v>
          </cell>
          <cell r="E164">
            <v>4</v>
          </cell>
        </row>
        <row r="165">
          <cell r="D165" t="str">
            <v>đệm dẫn hướng</v>
          </cell>
          <cell r="E165">
            <v>4</v>
          </cell>
        </row>
        <row r="166">
          <cell r="D166" t="str">
            <v>bánh xe đôi</v>
          </cell>
          <cell r="E166">
            <v>8</v>
          </cell>
        </row>
        <row r="167">
          <cell r="D167" t="str">
            <v>CSL50-4C</v>
          </cell>
          <cell r="E167" t="str">
            <v>- Phụ kiện bánh xe đôi, khóa âm đồng bộ Draho</v>
          </cell>
        </row>
      </sheetData>
      <sheetData sheetId="10">
        <row r="2">
          <cell r="A2" t="str">
            <v>Draho</v>
          </cell>
        </row>
        <row r="5">
          <cell r="D5" t="str">
            <v>Tên</v>
          </cell>
          <cell r="E5" t="str">
            <v>Số lượng</v>
          </cell>
        </row>
        <row r="6">
          <cell r="D6" t="str">
            <v>bản lề 3D</v>
          </cell>
          <cell r="E6">
            <v>3</v>
          </cell>
        </row>
        <row r="7">
          <cell r="D7" t="str">
            <v>bản lề 4D</v>
          </cell>
          <cell r="E7">
            <v>0</v>
          </cell>
        </row>
        <row r="8">
          <cell r="D8" t="str">
            <v>tay nắm</v>
          </cell>
          <cell r="E8">
            <v>1</v>
          </cell>
        </row>
        <row r="9">
          <cell r="D9" t="str">
            <v>thân khóa đa điểm</v>
          </cell>
          <cell r="E9">
            <v>1</v>
          </cell>
        </row>
        <row r="10">
          <cell r="D10" t="str">
            <v>thân khóa đơn điểm</v>
          </cell>
          <cell r="E10">
            <v>0</v>
          </cell>
        </row>
        <row r="11">
          <cell r="D11" t="str">
            <v>đầu nối đa điểm</v>
          </cell>
          <cell r="E11">
            <v>2</v>
          </cell>
        </row>
        <row r="12">
          <cell r="D12" t="str">
            <v>miệng ốp</v>
          </cell>
          <cell r="E12">
            <v>1</v>
          </cell>
        </row>
        <row r="13">
          <cell r="D13" t="str">
            <v>thanh truyền</v>
          </cell>
          <cell r="E13">
            <v>2</v>
          </cell>
        </row>
        <row r="14">
          <cell r="D14" t="str">
            <v>lõi khóa</v>
          </cell>
          <cell r="E14">
            <v>1</v>
          </cell>
        </row>
        <row r="15">
          <cell r="D15" t="str">
            <v>vấu khóa cửa đi</v>
          </cell>
          <cell r="E15">
            <v>2</v>
          </cell>
        </row>
        <row r="16">
          <cell r="D16" t="str">
            <v>chốt cánh phụ</v>
          </cell>
          <cell r="E16">
            <v>0</v>
          </cell>
        </row>
        <row r="17">
          <cell r="D17" t="str">
            <v>hãm chốt cánh phụ</v>
          </cell>
          <cell r="E17">
            <v>0</v>
          </cell>
        </row>
        <row r="18">
          <cell r="D18" t="str">
            <v>CDMQ55-1C</v>
          </cell>
          <cell r="E18" t="str">
            <v>- Phụ kiện bản lề 3D, thân khóa đa điểm đồng bộ Draho</v>
          </cell>
        </row>
        <row r="20">
          <cell r="D20" t="str">
            <v>Tên</v>
          </cell>
          <cell r="E20" t="str">
            <v>Số lượng</v>
          </cell>
        </row>
        <row r="21">
          <cell r="D21" t="str">
            <v>bản lề 3D</v>
          </cell>
          <cell r="E21">
            <v>6</v>
          </cell>
        </row>
        <row r="22">
          <cell r="D22" t="str">
            <v>bản lề 4D</v>
          </cell>
          <cell r="E22">
            <v>0</v>
          </cell>
        </row>
        <row r="23">
          <cell r="D23" t="str">
            <v>tay nắm</v>
          </cell>
          <cell r="E23">
            <v>1</v>
          </cell>
        </row>
        <row r="24">
          <cell r="D24" t="str">
            <v>thân khóa đa điểm</v>
          </cell>
          <cell r="E24">
            <v>1</v>
          </cell>
        </row>
        <row r="25">
          <cell r="D25" t="str">
            <v>thân khóa đơn điểm</v>
          </cell>
          <cell r="E25">
            <v>0</v>
          </cell>
        </row>
        <row r="26">
          <cell r="D26" t="str">
            <v>đầu nối đa điểm</v>
          </cell>
          <cell r="E26">
            <v>2</v>
          </cell>
        </row>
        <row r="27">
          <cell r="D27" t="str">
            <v>miệng ốp</v>
          </cell>
          <cell r="E27">
            <v>1</v>
          </cell>
        </row>
        <row r="28">
          <cell r="D28" t="str">
            <v>thanh truyền</v>
          </cell>
          <cell r="E28">
            <v>2</v>
          </cell>
        </row>
        <row r="29">
          <cell r="D29" t="str">
            <v>lõi khóa</v>
          </cell>
          <cell r="E29">
            <v>1</v>
          </cell>
        </row>
        <row r="30">
          <cell r="D30" t="str">
            <v>vấu khóa cửa đi</v>
          </cell>
          <cell r="E30">
            <v>2</v>
          </cell>
        </row>
        <row r="31">
          <cell r="D31" t="str">
            <v>chốt cánh phụ</v>
          </cell>
          <cell r="E31">
            <v>2</v>
          </cell>
        </row>
        <row r="32">
          <cell r="D32" t="str">
            <v>hãm chốt cánh phụ</v>
          </cell>
          <cell r="E32">
            <v>2</v>
          </cell>
        </row>
        <row r="33">
          <cell r="D33" t="str">
            <v>CDMQ55-2C</v>
          </cell>
          <cell r="E33" t="str">
            <v>- Phụ kiện bản lề 3D, thân khóa đa điểm đồng bộ Draho</v>
          </cell>
        </row>
        <row r="35">
          <cell r="D35" t="str">
            <v>Tên</v>
          </cell>
          <cell r="E35" t="str">
            <v>Số lượng</v>
          </cell>
        </row>
        <row r="36">
          <cell r="D36" t="str">
            <v>bản lề 3D</v>
          </cell>
          <cell r="E36">
            <v>16</v>
          </cell>
        </row>
        <row r="37">
          <cell r="D37" t="str">
            <v>bản lề 4D</v>
          </cell>
          <cell r="E37">
            <v>0</v>
          </cell>
        </row>
        <row r="38">
          <cell r="D38" t="str">
            <v>tay nắm</v>
          </cell>
          <cell r="E38">
            <v>1</v>
          </cell>
        </row>
        <row r="39">
          <cell r="D39" t="str">
            <v>thân khóa đa điểm</v>
          </cell>
          <cell r="E39">
            <v>1</v>
          </cell>
        </row>
        <row r="40">
          <cell r="D40" t="str">
            <v>thân khóa đơn điểm</v>
          </cell>
          <cell r="E40">
            <v>0</v>
          </cell>
        </row>
        <row r="41">
          <cell r="D41" t="str">
            <v>đầu nối đa điểm</v>
          </cell>
          <cell r="E41">
            <v>2</v>
          </cell>
        </row>
        <row r="42">
          <cell r="D42" t="str">
            <v>miệng ốp</v>
          </cell>
          <cell r="E42">
            <v>1</v>
          </cell>
        </row>
        <row r="43">
          <cell r="D43" t="str">
            <v>thanh truyền</v>
          </cell>
          <cell r="E43">
            <v>2</v>
          </cell>
        </row>
        <row r="44">
          <cell r="D44" t="str">
            <v>lõi khóa</v>
          </cell>
          <cell r="E44">
            <v>1</v>
          </cell>
        </row>
        <row r="45">
          <cell r="D45" t="str">
            <v>vấu khóa cửa đi</v>
          </cell>
          <cell r="E45">
            <v>2</v>
          </cell>
        </row>
        <row r="46">
          <cell r="D46" t="str">
            <v>chốt cánh phụ</v>
          </cell>
          <cell r="E46">
            <v>6</v>
          </cell>
        </row>
        <row r="47">
          <cell r="D47" t="str">
            <v>hãm chốt cánh phụ</v>
          </cell>
          <cell r="E47">
            <v>6</v>
          </cell>
        </row>
        <row r="48">
          <cell r="D48" t="str">
            <v>CDMQ55-4C</v>
          </cell>
          <cell r="E48" t="str">
            <v>- Phụ kiện bản lề 3D, thân khóa đa điểm đồng bộ Draho</v>
          </cell>
        </row>
        <row r="50">
          <cell r="D50" t="str">
            <v>Tên</v>
          </cell>
          <cell r="E50" t="str">
            <v>Số lượng</v>
          </cell>
        </row>
        <row r="51">
          <cell r="D51" t="str">
            <v>tay nắm (khóa đa điểm)</v>
          </cell>
          <cell r="E51">
            <v>2</v>
          </cell>
        </row>
        <row r="52">
          <cell r="D52" t="str">
            <v>thanh truyền động</v>
          </cell>
          <cell r="E52">
            <v>2</v>
          </cell>
        </row>
        <row r="53">
          <cell r="D53" t="str">
            <v>vấu hãm</v>
          </cell>
          <cell r="E53">
            <v>4</v>
          </cell>
        </row>
        <row r="54">
          <cell r="D54" t="str">
            <v>khóa âm</v>
          </cell>
          <cell r="E54">
            <v>0</v>
          </cell>
        </row>
        <row r="55">
          <cell r="D55" t="str">
            <v>vấu khoá sập</v>
          </cell>
          <cell r="E55">
            <v>0</v>
          </cell>
        </row>
        <row r="56">
          <cell r="D56" t="str">
            <v>tay nắm chữ D</v>
          </cell>
          <cell r="E56">
            <v>0</v>
          </cell>
        </row>
        <row r="57">
          <cell r="D57" t="str">
            <v>vấu khóa</v>
          </cell>
          <cell r="E57">
            <v>0</v>
          </cell>
        </row>
        <row r="58">
          <cell r="D58" t="str">
            <v>đệm chống nhấc (đỉnh)</v>
          </cell>
          <cell r="E58">
            <v>1</v>
          </cell>
        </row>
        <row r="59">
          <cell r="D59" t="str">
            <v>đệm chống va đập</v>
          </cell>
          <cell r="E59">
            <v>1</v>
          </cell>
        </row>
        <row r="60">
          <cell r="D60" t="str">
            <v>đệm chống va đập</v>
          </cell>
          <cell r="E60">
            <v>4</v>
          </cell>
        </row>
        <row r="61">
          <cell r="D61" t="str">
            <v>đệm chống va đập</v>
          </cell>
          <cell r="E61">
            <v>4</v>
          </cell>
        </row>
        <row r="62">
          <cell r="D62" t="str">
            <v>đệm dẫn hướng</v>
          </cell>
          <cell r="E62">
            <v>2</v>
          </cell>
        </row>
        <row r="63">
          <cell r="D63" t="str">
            <v>đệm dẫn hướng</v>
          </cell>
          <cell r="E63">
            <v>2</v>
          </cell>
        </row>
        <row r="64">
          <cell r="D64" t="str">
            <v>đệm dẫn hướng</v>
          </cell>
          <cell r="E64">
            <v>2</v>
          </cell>
        </row>
        <row r="65">
          <cell r="D65" t="str">
            <v>đệm dẫn hướng</v>
          </cell>
          <cell r="E65">
            <v>2</v>
          </cell>
        </row>
        <row r="66">
          <cell r="D66" t="str">
            <v>bánh xe đôi</v>
          </cell>
          <cell r="E66">
            <v>4</v>
          </cell>
        </row>
        <row r="67">
          <cell r="D67" t="str">
            <v>CDL93-2C</v>
          </cell>
          <cell r="E67" t="str">
            <v>- Phụ kiện bánh xe đôi, tay nắm (khóa đa điểm) đồng bộ Draho</v>
          </cell>
        </row>
        <row r="69">
          <cell r="D69" t="str">
            <v>Tên</v>
          </cell>
          <cell r="E69" t="str">
            <v>Số lượng</v>
          </cell>
        </row>
        <row r="70">
          <cell r="D70" t="str">
            <v>tay nắm (khóa đa điểm)</v>
          </cell>
          <cell r="E70">
            <v>2</v>
          </cell>
        </row>
        <row r="71">
          <cell r="D71" t="str">
            <v>thanh truyền động</v>
          </cell>
          <cell r="E71">
            <v>2</v>
          </cell>
        </row>
        <row r="72">
          <cell r="D72" t="str">
            <v>vấu hãm</v>
          </cell>
          <cell r="E72">
            <v>4</v>
          </cell>
        </row>
        <row r="73">
          <cell r="D73" t="str">
            <v>khóa âm</v>
          </cell>
          <cell r="E73">
            <v>0</v>
          </cell>
        </row>
        <row r="74">
          <cell r="D74" t="str">
            <v>vấu khoá sập</v>
          </cell>
          <cell r="E74">
            <v>0</v>
          </cell>
        </row>
        <row r="75">
          <cell r="D75" t="str">
            <v>tay nắm chữ D</v>
          </cell>
          <cell r="E75">
            <v>0</v>
          </cell>
        </row>
        <row r="76">
          <cell r="D76" t="str">
            <v>vấu khóa</v>
          </cell>
          <cell r="E76">
            <v>0</v>
          </cell>
        </row>
        <row r="77">
          <cell r="D77" t="str">
            <v>đệm chống nhấc (đỉnh)</v>
          </cell>
          <cell r="E77">
            <v>2</v>
          </cell>
        </row>
        <row r="78">
          <cell r="D78" t="str">
            <v>đệm chống va đập</v>
          </cell>
          <cell r="E78">
            <v>2</v>
          </cell>
        </row>
        <row r="79">
          <cell r="D79" t="str">
            <v>đệm chống va đập</v>
          </cell>
          <cell r="E79">
            <v>4</v>
          </cell>
        </row>
        <row r="80">
          <cell r="D80" t="str">
            <v>đệm chống va đập</v>
          </cell>
          <cell r="E80">
            <v>4</v>
          </cell>
        </row>
        <row r="81">
          <cell r="D81" t="str">
            <v>đệm dẫn hướng</v>
          </cell>
          <cell r="E81">
            <v>3</v>
          </cell>
        </row>
        <row r="82">
          <cell r="D82" t="str">
            <v>đệm dẫn hướng</v>
          </cell>
          <cell r="E82">
            <v>3</v>
          </cell>
        </row>
        <row r="83">
          <cell r="D83" t="str">
            <v>đệm dẫn hướng</v>
          </cell>
          <cell r="E83">
            <v>3</v>
          </cell>
        </row>
        <row r="84">
          <cell r="D84" t="str">
            <v>đệm dẫn hướng</v>
          </cell>
          <cell r="E84">
            <v>3</v>
          </cell>
        </row>
        <row r="85">
          <cell r="D85" t="str">
            <v>bánh xe đôi</v>
          </cell>
          <cell r="E85">
            <v>6</v>
          </cell>
        </row>
        <row r="86">
          <cell r="D86" t="str">
            <v>CDL93-3C</v>
          </cell>
          <cell r="E86" t="str">
            <v>- Phụ kiện bánh xe đôi, tay nắm (khóa đa điểm) đồng bộ Draho</v>
          </cell>
        </row>
        <row r="88">
          <cell r="D88" t="str">
            <v>Tên</v>
          </cell>
          <cell r="E88" t="str">
            <v>Số lượng</v>
          </cell>
        </row>
        <row r="89">
          <cell r="D89" t="str">
            <v>tay nắm (khóa đa điểm)</v>
          </cell>
          <cell r="E89">
            <v>3</v>
          </cell>
        </row>
        <row r="90">
          <cell r="D90" t="str">
            <v>thanh truyền động</v>
          </cell>
          <cell r="E90">
            <v>3</v>
          </cell>
        </row>
        <row r="91">
          <cell r="D91" t="str">
            <v>vấu hãm</v>
          </cell>
          <cell r="E91">
            <v>6</v>
          </cell>
        </row>
        <row r="92">
          <cell r="D92" t="str">
            <v>khóa âm</v>
          </cell>
          <cell r="E92">
            <v>0</v>
          </cell>
        </row>
        <row r="93">
          <cell r="D93" t="str">
            <v>vấu khoá sập</v>
          </cell>
          <cell r="E93">
            <v>0</v>
          </cell>
        </row>
        <row r="94">
          <cell r="D94" t="str">
            <v>tay nắm chữ D</v>
          </cell>
          <cell r="E94">
            <v>0</v>
          </cell>
        </row>
        <row r="95">
          <cell r="D95" t="str">
            <v>vấu khóa</v>
          </cell>
          <cell r="E95">
            <v>0</v>
          </cell>
        </row>
        <row r="96">
          <cell r="D96" t="str">
            <v>đệm chống nhấc (đỉnh)</v>
          </cell>
          <cell r="E96">
            <v>3</v>
          </cell>
        </row>
        <row r="97">
          <cell r="D97" t="str">
            <v>đệm chống va đập</v>
          </cell>
          <cell r="E97">
            <v>2</v>
          </cell>
        </row>
        <row r="98">
          <cell r="D98" t="str">
            <v>đệm chống va đập</v>
          </cell>
          <cell r="E98">
            <v>4</v>
          </cell>
        </row>
        <row r="99">
          <cell r="D99" t="str">
            <v>đệm chống va đập</v>
          </cell>
          <cell r="E99">
            <v>4</v>
          </cell>
        </row>
        <row r="100">
          <cell r="D100" t="str">
            <v>đệm dẫn hướng</v>
          </cell>
          <cell r="E100">
            <v>4</v>
          </cell>
        </row>
        <row r="101">
          <cell r="D101" t="str">
            <v>đệm dẫn hướng</v>
          </cell>
          <cell r="E101">
            <v>4</v>
          </cell>
        </row>
        <row r="102">
          <cell r="D102" t="str">
            <v>đệm dẫn hướng</v>
          </cell>
          <cell r="E102">
            <v>4</v>
          </cell>
        </row>
        <row r="103">
          <cell r="D103" t="str">
            <v>đệm dẫn hướng</v>
          </cell>
          <cell r="E103">
            <v>4</v>
          </cell>
        </row>
        <row r="104">
          <cell r="D104" t="str">
            <v>bánh xe đôi</v>
          </cell>
          <cell r="E104">
            <v>8</v>
          </cell>
        </row>
        <row r="105">
          <cell r="D105" t="str">
            <v>CDL93-4C</v>
          </cell>
          <cell r="E105" t="str">
            <v>- Phụ kiện bánh xe đôi, tay nắm (khóa đa điểm) đồng bộ Draho</v>
          </cell>
        </row>
        <row r="107">
          <cell r="D107" t="str">
            <v>Tên</v>
          </cell>
          <cell r="E107" t="str">
            <v>Số lượng</v>
          </cell>
        </row>
        <row r="108">
          <cell r="D108" t="str">
            <v>tay nắm</v>
          </cell>
          <cell r="E108">
            <v>1</v>
          </cell>
        </row>
        <row r="109">
          <cell r="D109" t="str">
            <v>bản lề chữ A (16 inch)</v>
          </cell>
          <cell r="E109">
            <v>2</v>
          </cell>
        </row>
        <row r="110">
          <cell r="D110" t="str">
            <v>tay chống sao</v>
          </cell>
          <cell r="E110">
            <v>2</v>
          </cell>
        </row>
        <row r="111">
          <cell r="D111" t="str">
            <v>khóa giữa (nhựa)</v>
          </cell>
          <cell r="E111">
            <v>1</v>
          </cell>
        </row>
        <row r="112">
          <cell r="D112" t="str">
            <v>chống sệ (cánh)</v>
          </cell>
          <cell r="E112">
            <v>2</v>
          </cell>
        </row>
        <row r="113">
          <cell r="D113" t="str">
            <v>chống sệ (khung bao)</v>
          </cell>
          <cell r="E113">
            <v>2</v>
          </cell>
        </row>
        <row r="114">
          <cell r="D114" t="str">
            <v>CSB(1D)55-1C</v>
          </cell>
          <cell r="E114" t="str">
            <v>- Phụ kiện tay nắm, bản lề chữ A đồng bộ Draho</v>
          </cell>
        </row>
        <row r="116">
          <cell r="D116" t="str">
            <v>Tên</v>
          </cell>
          <cell r="E116" t="str">
            <v>Số lượng</v>
          </cell>
        </row>
        <row r="117">
          <cell r="D117" t="str">
            <v>tay nắm</v>
          </cell>
          <cell r="E117">
            <v>1</v>
          </cell>
        </row>
        <row r="118">
          <cell r="D118" t="str">
            <v>vấu khóa</v>
          </cell>
          <cell r="E118">
            <v>2</v>
          </cell>
        </row>
        <row r="119">
          <cell r="D119" t="str">
            <v>thanh truyền động</v>
          </cell>
          <cell r="E119">
            <v>1</v>
          </cell>
        </row>
        <row r="120">
          <cell r="D120" t="str">
            <v>bản lề chữ A (16 inch)</v>
          </cell>
          <cell r="E120">
            <v>2</v>
          </cell>
        </row>
        <row r="121">
          <cell r="D121" t="str">
            <v>tay chống sao</v>
          </cell>
          <cell r="E121">
            <v>2</v>
          </cell>
        </row>
        <row r="122">
          <cell r="D122" t="str">
            <v>chống sệ (cánh)</v>
          </cell>
          <cell r="E122">
            <v>2</v>
          </cell>
        </row>
        <row r="123">
          <cell r="D123" t="str">
            <v>chống sệ (khung bao)</v>
          </cell>
          <cell r="E123">
            <v>2</v>
          </cell>
        </row>
        <row r="124">
          <cell r="D124" t="str">
            <v>CSB(2D)55-1C</v>
          </cell>
          <cell r="E124" t="str">
            <v>- Phụ kiện tay nắm, bản lề chữ A đồng bộ Draho</v>
          </cell>
        </row>
        <row r="126">
          <cell r="D126" t="str">
            <v>Tên</v>
          </cell>
          <cell r="E126" t="str">
            <v>Số lượng</v>
          </cell>
        </row>
        <row r="127">
          <cell r="D127" t="str">
            <v>tay nắm (khóa đa điểm)</v>
          </cell>
          <cell r="E127">
            <v>0</v>
          </cell>
        </row>
        <row r="128">
          <cell r="D128" t="str">
            <v>thanh truyền động</v>
          </cell>
          <cell r="E128">
            <v>0</v>
          </cell>
        </row>
        <row r="129">
          <cell r="D129" t="str">
            <v>vấu hãm</v>
          </cell>
          <cell r="E129">
            <v>0</v>
          </cell>
        </row>
        <row r="130">
          <cell r="D130" t="str">
            <v>khóa âm</v>
          </cell>
          <cell r="E130">
            <v>2</v>
          </cell>
        </row>
        <row r="131">
          <cell r="D131" t="str">
            <v>vấu khoá sập</v>
          </cell>
          <cell r="E131">
            <v>2</v>
          </cell>
        </row>
        <row r="132">
          <cell r="D132" t="str">
            <v>đệm chống nhấc (đỉnh)</v>
          </cell>
          <cell r="E132">
            <v>1</v>
          </cell>
        </row>
        <row r="133">
          <cell r="D133" t="str">
            <v>đệm chống va đập</v>
          </cell>
          <cell r="E133">
            <v>1</v>
          </cell>
        </row>
        <row r="134">
          <cell r="D134" t="str">
            <v>đệm chống va đập</v>
          </cell>
          <cell r="E134">
            <v>4</v>
          </cell>
        </row>
        <row r="135">
          <cell r="D135" t="str">
            <v>đệm chống va đập</v>
          </cell>
          <cell r="E135">
            <v>4</v>
          </cell>
        </row>
        <row r="136">
          <cell r="D136" t="str">
            <v>đệm dẫn hướng</v>
          </cell>
          <cell r="E136">
            <v>2</v>
          </cell>
        </row>
        <row r="137">
          <cell r="D137" t="str">
            <v>đệm dẫn hướng</v>
          </cell>
          <cell r="E137">
            <v>2</v>
          </cell>
        </row>
        <row r="138">
          <cell r="D138" t="str">
            <v>đệm dẫn hướng</v>
          </cell>
          <cell r="E138">
            <v>2</v>
          </cell>
        </row>
        <row r="139">
          <cell r="D139" t="str">
            <v>đệm dẫn hướng</v>
          </cell>
          <cell r="E139">
            <v>2</v>
          </cell>
        </row>
        <row r="140">
          <cell r="D140" t="str">
            <v>bánh xe đôi</v>
          </cell>
          <cell r="E140">
            <v>4</v>
          </cell>
        </row>
        <row r="141">
          <cell r="D141" t="str">
            <v>CSL93-2C</v>
          </cell>
          <cell r="E141" t="str">
            <v>- Phụ kiện bánh xe đôi, khóa âm đồng bộ Draho</v>
          </cell>
        </row>
        <row r="143">
          <cell r="D143" t="str">
            <v>Tên</v>
          </cell>
          <cell r="E143" t="str">
            <v>Số lượng</v>
          </cell>
        </row>
        <row r="144">
          <cell r="D144" t="str">
            <v>tay nắm (khóa đa điểm)</v>
          </cell>
          <cell r="E144">
            <v>0</v>
          </cell>
        </row>
        <row r="145">
          <cell r="D145" t="str">
            <v>thanh truyền động</v>
          </cell>
          <cell r="E145">
            <v>0</v>
          </cell>
        </row>
        <row r="146">
          <cell r="D146" t="str">
            <v>vấu hãm</v>
          </cell>
          <cell r="E146">
            <v>0</v>
          </cell>
        </row>
        <row r="147">
          <cell r="D147" t="str">
            <v>khóa âm</v>
          </cell>
          <cell r="E147">
            <v>2</v>
          </cell>
        </row>
        <row r="148">
          <cell r="D148" t="str">
            <v>vấu khoá sập</v>
          </cell>
          <cell r="E148">
            <v>2</v>
          </cell>
        </row>
        <row r="149">
          <cell r="D149" t="str">
            <v>đệm chống nhấc (đỉnh)</v>
          </cell>
          <cell r="E149">
            <v>2</v>
          </cell>
        </row>
        <row r="150">
          <cell r="D150" t="str">
            <v>đệm chống va đập</v>
          </cell>
          <cell r="E150">
            <v>2</v>
          </cell>
        </row>
        <row r="151">
          <cell r="D151" t="str">
            <v>đệm chống va đập</v>
          </cell>
          <cell r="E151">
            <v>4</v>
          </cell>
        </row>
        <row r="152">
          <cell r="D152" t="str">
            <v>đệm chống va đập</v>
          </cell>
          <cell r="E152">
            <v>4</v>
          </cell>
        </row>
        <row r="153">
          <cell r="D153" t="str">
            <v>đệm dẫn hướng</v>
          </cell>
          <cell r="E153">
            <v>3</v>
          </cell>
        </row>
        <row r="154">
          <cell r="D154" t="str">
            <v>đệm dẫn hướng</v>
          </cell>
          <cell r="E154">
            <v>3</v>
          </cell>
        </row>
        <row r="155">
          <cell r="D155" t="str">
            <v>đệm dẫn hướng</v>
          </cell>
          <cell r="E155">
            <v>3</v>
          </cell>
        </row>
        <row r="156">
          <cell r="D156" t="str">
            <v>đệm dẫn hướng</v>
          </cell>
          <cell r="E156">
            <v>3</v>
          </cell>
        </row>
        <row r="157">
          <cell r="D157" t="str">
            <v>bánh xe đôi</v>
          </cell>
          <cell r="E157">
            <v>6</v>
          </cell>
        </row>
        <row r="158">
          <cell r="D158" t="str">
            <v>CSL93-3C</v>
          </cell>
          <cell r="E158" t="str">
            <v>- Phụ kiện bánh xe đôi, khóa âm đồng bộ Draho</v>
          </cell>
        </row>
        <row r="160">
          <cell r="D160" t="str">
            <v>Tên</v>
          </cell>
          <cell r="E160" t="str">
            <v>Số lượng</v>
          </cell>
        </row>
        <row r="161">
          <cell r="D161" t="str">
            <v>tay nắm (khóa đa điểm)</v>
          </cell>
          <cell r="E161">
            <v>0</v>
          </cell>
        </row>
        <row r="162">
          <cell r="D162" t="str">
            <v>thanh truyền động</v>
          </cell>
          <cell r="E162">
            <v>0</v>
          </cell>
        </row>
        <row r="163">
          <cell r="D163" t="str">
            <v>vấu hãm</v>
          </cell>
          <cell r="E163">
            <v>0</v>
          </cell>
        </row>
        <row r="164">
          <cell r="D164" t="str">
            <v>khóa âm</v>
          </cell>
          <cell r="E164">
            <v>3</v>
          </cell>
        </row>
        <row r="165">
          <cell r="D165" t="str">
            <v>vấu khoá sập</v>
          </cell>
          <cell r="E165">
            <v>3</v>
          </cell>
        </row>
        <row r="166">
          <cell r="D166" t="str">
            <v>đệm chống nhấc (đỉnh)</v>
          </cell>
          <cell r="E166">
            <v>3</v>
          </cell>
        </row>
        <row r="167">
          <cell r="D167" t="str">
            <v>đệm chống va đập</v>
          </cell>
          <cell r="E167">
            <v>2</v>
          </cell>
        </row>
        <row r="168">
          <cell r="D168" t="str">
            <v>đệm chống va đập</v>
          </cell>
          <cell r="E168">
            <v>4</v>
          </cell>
        </row>
        <row r="169">
          <cell r="D169" t="str">
            <v>đệm chống va đập</v>
          </cell>
          <cell r="E169">
            <v>4</v>
          </cell>
        </row>
        <row r="170">
          <cell r="D170" t="str">
            <v>đệm dẫn hướng</v>
          </cell>
          <cell r="E170">
            <v>4</v>
          </cell>
        </row>
        <row r="171">
          <cell r="D171" t="str">
            <v>đệm dẫn hướng</v>
          </cell>
          <cell r="E171">
            <v>4</v>
          </cell>
        </row>
        <row r="172">
          <cell r="D172" t="str">
            <v>đệm dẫn hướng</v>
          </cell>
          <cell r="E172">
            <v>4</v>
          </cell>
        </row>
        <row r="173">
          <cell r="D173" t="str">
            <v>đệm dẫn hướng</v>
          </cell>
          <cell r="E173">
            <v>4</v>
          </cell>
        </row>
        <row r="174">
          <cell r="D174" t="str">
            <v>bánh xe đôi</v>
          </cell>
          <cell r="E174">
            <v>8</v>
          </cell>
        </row>
        <row r="175">
          <cell r="D175" t="str">
            <v>CSL93-4C</v>
          </cell>
          <cell r="E175" t="str">
            <v>- Phụ kiện bánh xe đôi, khóa âm đồng bộ Draho</v>
          </cell>
        </row>
      </sheetData>
      <sheetData sheetId="11">
        <row r="3">
          <cell r="E3" t="str">
            <v>Hafele (Bóng)</v>
          </cell>
        </row>
      </sheetData>
      <sheetData sheetId="12">
        <row r="3">
          <cell r="E3" t="str">
            <v>Hafele (Bóng)</v>
          </cell>
        </row>
      </sheetData>
      <sheetData sheetId="13">
        <row r="1">
          <cell r="A1" t="str">
            <v>Diễn giải vật tư</v>
          </cell>
          <cell r="B1" t="str">
            <v>Mã vật tư</v>
          </cell>
          <cell r="C1" t="str">
            <v>Đơn vị</v>
          </cell>
          <cell r="E1" t="str">
            <v>Đơn giá
(Chưa VAT)</v>
          </cell>
          <cell r="F1" t="str">
            <v>Ghi Chú</v>
          </cell>
        </row>
        <row r="2">
          <cell r="A2" t="str">
            <v>Phụ kiện cửa nhôm hệ Nova 50/65</v>
          </cell>
          <cell r="B2" t="str">
            <v>Draho</v>
          </cell>
        </row>
        <row r="3">
          <cell r="A3" t="str">
            <v>Cửa đi mở quay 1 cánh hệ Nova 50 - Draho</v>
          </cell>
          <cell r="B3" t="str">
            <v>CDMQ50-1C</v>
          </cell>
          <cell r="C3" t="str">
            <v>Bộ</v>
          </cell>
          <cell r="E3">
            <v>858730.4</v>
          </cell>
          <cell r="F3" t="str">
            <v>- Phụ kiện bản lề 3D, thân khóa đa điểm đồng bộ Draho</v>
          </cell>
        </row>
        <row r="4">
          <cell r="A4" t="str">
            <v>Cửa đi mở quay 2 cánh hệ Nova 50 - Draho</v>
          </cell>
          <cell r="B4" t="str">
            <v>CDMQ50-2C</v>
          </cell>
          <cell r="C4" t="str">
            <v>Bộ</v>
          </cell>
          <cell r="E4">
            <v>1257372.6000000001</v>
          </cell>
          <cell r="F4" t="str">
            <v>- Phụ kiện bản lề 3D, thân khóa đa điểm đồng bộ Draho</v>
          </cell>
        </row>
        <row r="5">
          <cell r="A5" t="str">
            <v>Cửa đi mở quay 4 cánh hệ Nova 50 - Draho</v>
          </cell>
          <cell r="B5" t="str">
            <v>CDMQ50-4C</v>
          </cell>
          <cell r="C5" t="str">
            <v>Bộ</v>
          </cell>
          <cell r="E5">
            <v>2516921</v>
          </cell>
          <cell r="F5" t="str">
            <v>- Phụ kiện bản lề 3D, thân khóa đa điểm đồng bộ Draho</v>
          </cell>
        </row>
        <row r="6">
          <cell r="A6" t="str">
            <v>Cửa đi lùa 2 cánh hệ Nova 65 - Draho</v>
          </cell>
          <cell r="B6" t="str">
            <v>CDL65-2C</v>
          </cell>
          <cell r="C6" t="str">
            <v>Bộ</v>
          </cell>
          <cell r="E6">
            <v>481195.00000000006</v>
          </cell>
          <cell r="F6" t="str">
            <v>- Phụ kiện bánh xe đôi, tay nắm chữ D đồng bộ Draho</v>
          </cell>
        </row>
        <row r="7">
          <cell r="A7" t="str">
            <v>Cửa đi lùa 3 cánh hệ Nova 65 - Draho</v>
          </cell>
          <cell r="B7" t="str">
            <v>CDL65-3C</v>
          </cell>
          <cell r="C7" t="str">
            <v>Bộ</v>
          </cell>
          <cell r="E7">
            <v>563970</v>
          </cell>
          <cell r="F7" t="str">
            <v>- Phụ kiện bánh xe đôi, tay nắm chữ D đồng bộ Draho</v>
          </cell>
        </row>
        <row r="8">
          <cell r="A8" t="str">
            <v>Cửa đi lùa 4 cánh (đối đầu) hệ Nova 65 - Draho</v>
          </cell>
          <cell r="B8" t="str">
            <v>CDL65-4C</v>
          </cell>
          <cell r="C8" t="str">
            <v>Bộ</v>
          </cell>
          <cell r="E8">
            <v>802673.3</v>
          </cell>
          <cell r="F8" t="str">
            <v>- Phụ kiện bánh xe đôi, tay nắm chữ D đồng bộ Draho</v>
          </cell>
        </row>
        <row r="9">
          <cell r="A9" t="str">
            <v>Cửa sổ bật 1 cánh đơn điểm hệ Nova 50 - Draho</v>
          </cell>
          <cell r="B9" t="str">
            <v>CSB(1D)50-1C</v>
          </cell>
          <cell r="C9" t="str">
            <v>Bộ</v>
          </cell>
          <cell r="E9">
            <v>276392.60000000003</v>
          </cell>
          <cell r="F9" t="str">
            <v>- Phụ kiện tay nắm, bản lề chữ A đồng bộ Draho</v>
          </cell>
        </row>
        <row r="10">
          <cell r="A10" t="str">
            <v>Cửa sổ bật 1 cánh đa điểm hệ Nova 50 - Draho</v>
          </cell>
          <cell r="B10" t="str">
            <v>CSB(2D)50-1C</v>
          </cell>
          <cell r="C10" t="str">
            <v>Bộ</v>
          </cell>
          <cell r="E10">
            <v>311294.5</v>
          </cell>
          <cell r="F10" t="str">
            <v>- Phụ kiện tay nắm, bản lề chữ A đồng bộ Draho</v>
          </cell>
        </row>
        <row r="11">
          <cell r="A11" t="str">
            <v>Cửa sổ lùa 2 cánh hệ Nova 50 - Draho</v>
          </cell>
          <cell r="B11" t="str">
            <v>CSL50-2C</v>
          </cell>
          <cell r="C11" t="str">
            <v>Bộ</v>
          </cell>
          <cell r="E11">
            <v>256676.2</v>
          </cell>
          <cell r="F11" t="str">
            <v>- Phụ kiện bánh xe đôi, khóa âm đồng bộ Draho</v>
          </cell>
        </row>
        <row r="12">
          <cell r="A12" t="str">
            <v>Cửa sổ lùa 3 cánh hệ Nova 50 - Draho</v>
          </cell>
          <cell r="B12" t="str">
            <v>CSL50-3C</v>
          </cell>
          <cell r="C12" t="str">
            <v>Bộ</v>
          </cell>
          <cell r="E12">
            <v>355744.4</v>
          </cell>
          <cell r="F12" t="str">
            <v>- Phụ kiện bánh xe đôi, khóa âm đồng bộ Draho</v>
          </cell>
        </row>
        <row r="13">
          <cell r="A13" t="str">
            <v>Cửa sổ lùa 4 cánh hệ Nova 50 - Draho</v>
          </cell>
          <cell r="B13" t="str">
            <v>CSL50-4C</v>
          </cell>
          <cell r="C13" t="str">
            <v>Bộ</v>
          </cell>
          <cell r="E13">
            <v>482188.30000000005</v>
          </cell>
          <cell r="F13" t="str">
            <v>- Phụ kiện bánh xe đôi, khóa âm đồng bộ Draho</v>
          </cell>
        </row>
        <row r="15">
          <cell r="A15" t="str">
            <v>Phụ kiện cửa nhôm hệ XingFa 55/93</v>
          </cell>
          <cell r="B15" t="str">
            <v>Draho</v>
          </cell>
        </row>
        <row r="16">
          <cell r="A16" t="str">
            <v>Cửa đi mở quay 1 cánh hệ XingFa 55 - Draho</v>
          </cell>
          <cell r="B16" t="str">
            <v>CDMQ55-1C</v>
          </cell>
          <cell r="C16" t="str">
            <v>Bộ</v>
          </cell>
          <cell r="E16">
            <v>869925.10000000009</v>
          </cell>
          <cell r="F16" t="str">
            <v>- Phụ kiện bản lề 3D, thân khóa đa điểm đồng bộ Draho</v>
          </cell>
        </row>
        <row r="17">
          <cell r="A17" t="str">
            <v>Cửa đi mở quay 2 cánh hệ XingFa 55 - Draho</v>
          </cell>
          <cell r="B17" t="str">
            <v>CDMQ55-2C</v>
          </cell>
          <cell r="C17" t="str">
            <v>Bộ</v>
          </cell>
          <cell r="E17">
            <v>1317229.1000000001</v>
          </cell>
          <cell r="F17" t="str">
            <v>- Phụ kiện bản lề 3D, thân khóa đa điểm đồng bộ Draho</v>
          </cell>
        </row>
        <row r="18">
          <cell r="A18" t="str">
            <v>Cửa đi mở quay 4 cánh hệ XingFa 55 - Draho</v>
          </cell>
          <cell r="B18" t="str">
            <v>CDMQ55-4C</v>
          </cell>
          <cell r="C18" t="str">
            <v>Bộ</v>
          </cell>
          <cell r="E18">
            <v>2674101.1</v>
          </cell>
          <cell r="F18" t="str">
            <v>- Phụ kiện bản lề 3D, thân khóa đa điểm đồng bộ Draho</v>
          </cell>
        </row>
        <row r="19">
          <cell r="A19" t="str">
            <v>Cửa đi lùa 2 cánh hệ XingFa 93 - Draho</v>
          </cell>
          <cell r="B19" t="str">
            <v>CDL93-2C</v>
          </cell>
          <cell r="C19" t="str">
            <v>Bộ</v>
          </cell>
          <cell r="E19">
            <v>425420.60000000003</v>
          </cell>
          <cell r="F19" t="str">
            <v>- Phụ kiện bánh xe đôi, tay nắm (khóa đa điểm) đồng bộ Draho</v>
          </cell>
        </row>
        <row r="20">
          <cell r="A20" t="str">
            <v>Cửa đi lùa 3 cánh hệ XingFa 93 - Draho</v>
          </cell>
          <cell r="B20" t="str">
            <v>CDL93-3C</v>
          </cell>
          <cell r="C20" t="str">
            <v>Bộ</v>
          </cell>
          <cell r="E20">
            <v>510151.4</v>
          </cell>
          <cell r="F20" t="str">
            <v>- Phụ kiện bánh xe đôi, tay nắm (khóa đa điểm) đồng bộ Draho</v>
          </cell>
        </row>
        <row r="21">
          <cell r="A21" t="str">
            <v>Cửa đi lùa 4 cánh (đối đầu) hệ XingFa 93 - Draho</v>
          </cell>
          <cell r="B21" t="str">
            <v>CDL93-4C</v>
          </cell>
          <cell r="C21" t="str">
            <v>Bộ</v>
          </cell>
          <cell r="E21">
            <v>720967.5</v>
          </cell>
          <cell r="F21" t="str">
            <v>- Phụ kiện bánh xe đôi, tay nắm (khóa đa điểm) đồng bộ Draho</v>
          </cell>
        </row>
        <row r="22">
          <cell r="A22" t="str">
            <v>Cửa sổ bật 1 cánh đơn điểm hệ XingFa 93 - Draho</v>
          </cell>
          <cell r="B22" t="str">
            <v>CSB(1D)55-1C</v>
          </cell>
          <cell r="C22" t="str">
            <v>Bộ</v>
          </cell>
          <cell r="E22">
            <v>276392.60000000003</v>
          </cell>
          <cell r="F22" t="str">
            <v>- Phụ kiện tay nắm, bản lề chữ A đồng bộ Draho</v>
          </cell>
        </row>
        <row r="23">
          <cell r="A23" t="str">
            <v>Cửa sổ bật 1 cánh đa điểm hệ XingFa 93 - Draho</v>
          </cell>
          <cell r="B23" t="str">
            <v>CSB(2D)55-1C</v>
          </cell>
          <cell r="C23" t="str">
            <v>Bộ</v>
          </cell>
          <cell r="E23">
            <v>306306</v>
          </cell>
          <cell r="F23" t="str">
            <v>- Phụ kiện tay nắm, bản lề chữ A đồng bộ Draho</v>
          </cell>
        </row>
        <row r="24">
          <cell r="A24" t="str">
            <v>Cửa sổ lùa 2 cánh hệ XingFa 93 - Draho</v>
          </cell>
          <cell r="B24" t="str">
            <v>CSL93-2C</v>
          </cell>
          <cell r="C24" t="str">
            <v>Bộ</v>
          </cell>
          <cell r="E24">
            <v>130550.20000000001</v>
          </cell>
          <cell r="F24" t="str">
            <v>- Phụ kiện bánh xe đôi, khóa âm đồng bộ Draho</v>
          </cell>
        </row>
        <row r="25">
          <cell r="A25" t="str">
            <v>Cửa sổ lùa 3 cánh hệ XingFa 93 - Draho</v>
          </cell>
          <cell r="B25" t="str">
            <v>CSL93-3C</v>
          </cell>
          <cell r="C25" t="str">
            <v>Bộ</v>
          </cell>
          <cell r="E25">
            <v>166555.40000000002</v>
          </cell>
          <cell r="F25" t="str">
            <v>- Phụ kiện bánh xe đôi, khóa âm đồng bộ Draho</v>
          </cell>
        </row>
        <row r="26">
          <cell r="A26" t="str">
            <v>Cửa sổ lùa 4 cánh hệ XingFa 93 - Draho</v>
          </cell>
          <cell r="B26" t="str">
            <v>CSL93-4C</v>
          </cell>
          <cell r="C26" t="str">
            <v>Bộ</v>
          </cell>
          <cell r="E26">
            <v>229936.30000000002</v>
          </cell>
          <cell r="F26" t="str">
            <v>- Phụ kiện bánh xe đôi, khóa âm đồng bộ Draho</v>
          </cell>
        </row>
        <row r="28">
          <cell r="A28" t="str">
            <v>Phụ kiện cửa bản lề sàn</v>
          </cell>
          <cell r="B28" t="str">
            <v>Hafele (Bóng)</v>
          </cell>
        </row>
        <row r="29">
          <cell r="A29" t="str">
            <v>Bản lề sàn (&lt;100Kg) - Hafele (Bóng)</v>
          </cell>
          <cell r="B29" t="str">
            <v>BLS_BLS1</v>
          </cell>
          <cell r="C29" t="str">
            <v>cái</v>
          </cell>
          <cell r="E29">
            <v>1535940</v>
          </cell>
        </row>
        <row r="30">
          <cell r="A30" t="str">
            <v>Bản lề sàn (100-120Kg) - Hafele (Bóng)</v>
          </cell>
          <cell r="B30" t="str">
            <v>BLS_BLS2</v>
          </cell>
          <cell r="C30" t="str">
            <v>cái</v>
          </cell>
          <cell r="E30">
            <v>1604295</v>
          </cell>
        </row>
        <row r="31">
          <cell r="A31" t="str">
            <v>Bản lề sàn (150Kg) - Hafele (Bóng)</v>
          </cell>
          <cell r="B31" t="str">
            <v>BLS_BLS3</v>
          </cell>
          <cell r="C31" t="str">
            <v>cái</v>
          </cell>
          <cell r="E31">
            <v>3996300</v>
          </cell>
        </row>
        <row r="32">
          <cell r="A32" t="str">
            <v>Bản lề sàn (&gt;150Kg) - Hafele (Bóng)</v>
          </cell>
          <cell r="B32" t="str">
            <v>BLS_BLS4</v>
          </cell>
          <cell r="C32" t="str">
            <v>cái</v>
          </cell>
          <cell r="E32">
            <v>10727062.5</v>
          </cell>
        </row>
        <row r="33">
          <cell r="A33" t="str">
            <v>Kẹp kính dưới - Hafele (Bóng)</v>
          </cell>
          <cell r="B33" t="str">
            <v>BLS_KDK</v>
          </cell>
          <cell r="C33" t="str">
            <v>cái</v>
          </cell>
          <cell r="E33">
            <v>150255</v>
          </cell>
        </row>
        <row r="34">
          <cell r="A34" t="str">
            <v>Kẹp kính trên - Hafele (Bóng)</v>
          </cell>
          <cell r="B34" t="str">
            <v>BLS_KTK</v>
          </cell>
          <cell r="C34" t="str">
            <v>cái</v>
          </cell>
          <cell r="E34">
            <v>150255</v>
          </cell>
        </row>
        <row r="35">
          <cell r="A35" t="str">
            <v>Kẹp đỉnh - Hafele (Bóng)</v>
          </cell>
          <cell r="B35" t="str">
            <v>BLS_KD</v>
          </cell>
          <cell r="C35" t="str">
            <v>cái</v>
          </cell>
          <cell r="E35">
            <v>166950</v>
          </cell>
        </row>
        <row r="36">
          <cell r="A36" t="str">
            <v>Kẹp góc L - Hafele (Bóng)</v>
          </cell>
          <cell r="B36" t="str">
            <v>BLS_KGL</v>
          </cell>
          <cell r="C36" t="str">
            <v>cái</v>
          </cell>
          <cell r="E36">
            <v>328335</v>
          </cell>
        </row>
        <row r="37">
          <cell r="A37" t="str">
            <v>Khóa sàn - Hafele (Bóng)</v>
          </cell>
          <cell r="B37" t="str">
            <v>BLS_KS</v>
          </cell>
          <cell r="C37" t="str">
            <v>cái</v>
          </cell>
          <cell r="E37">
            <v>306075</v>
          </cell>
        </row>
        <row r="38">
          <cell r="A38" t="str">
            <v>Ngỗng - Hafele (Bóng)</v>
          </cell>
          <cell r="B38" t="str">
            <v>BLS_N</v>
          </cell>
          <cell r="C38" t="str">
            <v>cái</v>
          </cell>
          <cell r="E38">
            <v>66780</v>
          </cell>
        </row>
        <row r="39">
          <cell r="A39" t="str">
            <v>Tay nắm dài 600mm - Hafele (Bóng)</v>
          </cell>
          <cell r="B39" t="str">
            <v>BLS_TN600</v>
          </cell>
          <cell r="C39" t="str">
            <v>cái</v>
          </cell>
          <cell r="E39">
            <v>834750</v>
          </cell>
        </row>
        <row r="40">
          <cell r="A40" t="str">
            <v>Tay nắm dài 800mm - Hafele (Bóng)</v>
          </cell>
          <cell r="B40" t="str">
            <v>BLS_TN800</v>
          </cell>
          <cell r="C40" t="str">
            <v>cái</v>
          </cell>
          <cell r="E40">
            <v>1020600</v>
          </cell>
        </row>
        <row r="41">
          <cell r="A41" t="str">
            <v>Tay nắm dài 1000mm - Hafele (Bóng)</v>
          </cell>
          <cell r="B41" t="str">
            <v>BLS_TN1000</v>
          </cell>
          <cell r="C41" t="str">
            <v>cái</v>
          </cell>
          <cell r="E41" t="str">
            <v>Check</v>
          </cell>
        </row>
        <row r="42">
          <cell r="A42" t="str">
            <v>Tay nắm dài 1200mm - Hafele (Bóng)</v>
          </cell>
          <cell r="B42" t="str">
            <v>BLS_TN1200</v>
          </cell>
          <cell r="C42" t="str">
            <v>cái</v>
          </cell>
          <cell r="E42">
            <v>1113000</v>
          </cell>
        </row>
        <row r="44">
          <cell r="A44" t="str">
            <v>Phụ kiện vách tắm kính</v>
          </cell>
          <cell r="B44" t="str">
            <v>Hafele (Bóng)</v>
          </cell>
        </row>
        <row r="45">
          <cell r="A45" t="str">
            <v>Bản lề kính - tường (90 độ) - Hafele (Bóng)</v>
          </cell>
          <cell r="B45" t="str">
            <v>VKT_BLKT90</v>
          </cell>
          <cell r="C45" t="str">
            <v>Chiếc</v>
          </cell>
          <cell r="E45">
            <v>363825</v>
          </cell>
        </row>
        <row r="46">
          <cell r="A46" t="str">
            <v>Bản lề kính - kính (90 độ) - Hafele (Bóng)</v>
          </cell>
          <cell r="B46" t="str">
            <v>VKT_BLKK90</v>
          </cell>
          <cell r="C46" t="str">
            <v>Chiếc</v>
          </cell>
          <cell r="E46">
            <v>528675</v>
          </cell>
        </row>
        <row r="47">
          <cell r="A47" t="str">
            <v>Bản lề kính - kính (135 độ) - Hafele (Bóng)</v>
          </cell>
          <cell r="B47" t="str">
            <v>VKT_BLKK135</v>
          </cell>
          <cell r="C47" t="str">
            <v>Chiếc</v>
          </cell>
          <cell r="E47">
            <v>528675</v>
          </cell>
        </row>
        <row r="48">
          <cell r="A48" t="str">
            <v>Bản lề kính - kính (180 độ) - Hafele (Bóng)</v>
          </cell>
          <cell r="B48" t="str">
            <v>VKT_BLKK180</v>
          </cell>
          <cell r="C48" t="str">
            <v>Chiếc</v>
          </cell>
          <cell r="E48">
            <v>525525</v>
          </cell>
        </row>
        <row r="49">
          <cell r="A49" t="str">
            <v>Tay kéo tròn - Hafele (Bóng)</v>
          </cell>
          <cell r="B49" t="str">
            <v>VKT_TK</v>
          </cell>
          <cell r="C49" t="str">
            <v>Chiếc</v>
          </cell>
          <cell r="E49">
            <v>421575</v>
          </cell>
        </row>
        <row r="50">
          <cell r="A50" t="str">
            <v>Tay kéo vuông - Hafele (Bóng)</v>
          </cell>
          <cell r="B50" t="str">
            <v>VKT_TKV</v>
          </cell>
          <cell r="C50" t="str">
            <v>Chiếc</v>
          </cell>
          <cell r="E50">
            <v>411810</v>
          </cell>
        </row>
        <row r="51">
          <cell r="A51" t="str">
            <v>Kẹp kính - kính - Hafele (Bóng)</v>
          </cell>
          <cell r="B51" t="str">
            <v>VKT_KKK</v>
          </cell>
          <cell r="C51" t="str">
            <v>Chiếc</v>
          </cell>
          <cell r="E51">
            <v>192231.79500000004</v>
          </cell>
        </row>
        <row r="52">
          <cell r="A52" t="str">
            <v>Kẹp kính - tường - Hafele (Bóng)</v>
          </cell>
          <cell r="B52" t="str">
            <v>VKT_KKT</v>
          </cell>
          <cell r="C52" t="str">
            <v>Chiếc</v>
          </cell>
          <cell r="E52">
            <v>127995</v>
          </cell>
        </row>
        <row r="53">
          <cell r="A53" t="str">
            <v>Kẹp kính - sàn - Hafele (Bóng)</v>
          </cell>
          <cell r="B53" t="str">
            <v>VKT_KKS</v>
          </cell>
          <cell r="C53" t="str">
            <v>Chiếc</v>
          </cell>
          <cell r="E53">
            <v>127050</v>
          </cell>
        </row>
        <row r="54">
          <cell r="A54" t="str">
            <v>Ống inox (3000mm/cây) - Hafele (Bóng)</v>
          </cell>
          <cell r="B54" t="str">
            <v>VKT_GIANG</v>
          </cell>
          <cell r="C54" t="str">
            <v>Md</v>
          </cell>
          <cell r="E54">
            <v>130777.5</v>
          </cell>
        </row>
        <row r="55">
          <cell r="A55" t="str">
            <v>Bát ống inox - tường - Hafele (Bóng)</v>
          </cell>
          <cell r="B55" t="str">
            <v>VKT_BOINOX</v>
          </cell>
          <cell r="C55" t="str">
            <v>Chiếc</v>
          </cell>
          <cell r="E55">
            <v>166950</v>
          </cell>
        </row>
        <row r="56">
          <cell r="A56" t="str">
            <v>Con sỏ ống inox - kính - Hafele (Bóng)</v>
          </cell>
          <cell r="B56" t="str">
            <v>VKT_CS</v>
          </cell>
          <cell r="C56" t="str">
            <v>Chiếc</v>
          </cell>
          <cell r="E56">
            <v>194775</v>
          </cell>
        </row>
        <row r="57">
          <cell r="A57" t="str">
            <v>Cút chuyển góc ống inox - Hafele (Bóng)</v>
          </cell>
          <cell r="B57" t="str">
            <v>VKT_CC</v>
          </cell>
          <cell r="C57" t="str">
            <v>Chiếc</v>
          </cell>
          <cell r="E57">
            <v>272685</v>
          </cell>
        </row>
        <row r="58">
          <cell r="A58" t="str">
            <v>Gioăng từ (2200mm/cây) - Hafele (Bóng)</v>
          </cell>
          <cell r="B58" t="str">
            <v>VKT_GT180</v>
          </cell>
          <cell r="C58" t="str">
            <v>Cây</v>
          </cell>
          <cell r="E58">
            <v>300510</v>
          </cell>
        </row>
        <row r="59">
          <cell r="A59" t="str">
            <v>Gioăng chắn nước cạnh cửa (ngang + đứng) (2200mm/cây) - Hafele (Bóng)</v>
          </cell>
          <cell r="B59" t="str">
            <v>VKT_GCN</v>
          </cell>
          <cell r="C59" t="str">
            <v>Cây</v>
          </cell>
          <cell r="E59">
            <v>51450</v>
          </cell>
        </row>
        <row r="60">
          <cell r="A60" t="str">
            <v>Bát nối chữ L - Hafele (Bóng)</v>
          </cell>
          <cell r="B60" t="str">
            <v>VKT_BCL</v>
          </cell>
          <cell r="C60" t="str">
            <v>Cây</v>
          </cell>
          <cell r="E60">
            <v>272685</v>
          </cell>
        </row>
        <row r="61">
          <cell r="A61" t="str">
            <v>Bát nối chữ T - Hafele (Bóng)</v>
          </cell>
          <cell r="B61" t="str">
            <v>VKT_BCT</v>
          </cell>
          <cell r="C61" t="str">
            <v>Cây</v>
          </cell>
          <cell r="E61">
            <v>217035</v>
          </cell>
        </row>
        <row r="63">
          <cell r="A63" t="str">
            <v>Vật tư phụ</v>
          </cell>
        </row>
        <row r="64">
          <cell r="A64" t="str">
            <v>Ke tăng cứng</v>
          </cell>
          <cell r="B64" t="str">
            <v>KeTC</v>
          </cell>
          <cell r="C64" t="str">
            <v>Cái</v>
          </cell>
          <cell r="E64">
            <v>700</v>
          </cell>
        </row>
        <row r="65">
          <cell r="A65" t="str">
            <v>Nút bịt nhựa</v>
          </cell>
          <cell r="B65" t="str">
            <v>NutBN</v>
          </cell>
          <cell r="C65" t="str">
            <v>Cái</v>
          </cell>
          <cell r="E65">
            <v>700</v>
          </cell>
        </row>
        <row r="66">
          <cell r="A66" t="str">
            <v>Bơm Foam</v>
          </cell>
          <cell r="B66" t="str">
            <v>Foam</v>
          </cell>
          <cell r="C66" t="str">
            <v>Mét</v>
          </cell>
          <cell r="E66">
            <v>20000</v>
          </cell>
        </row>
        <row r="67">
          <cell r="A67" t="str">
            <v>Sika chân CDL/CDMQ</v>
          </cell>
          <cell r="B67" t="str">
            <v>SikaChan</v>
          </cell>
          <cell r="C67" t="str">
            <v>md</v>
          </cell>
          <cell r="E67">
            <v>45000</v>
          </cell>
        </row>
        <row r="68">
          <cell r="A68" t="str">
            <v>Gioăng cao su</v>
          </cell>
          <cell r="B68" t="str">
            <v>GioangCS</v>
          </cell>
          <cell r="C68" t="str">
            <v>md</v>
          </cell>
          <cell r="E68">
            <v>4000</v>
          </cell>
        </row>
        <row r="69">
          <cell r="A69" t="str">
            <v>Gioăng lông</v>
          </cell>
          <cell r="B69" t="str">
            <v>GioangL</v>
          </cell>
          <cell r="C69" t="str">
            <v>md</v>
          </cell>
          <cell r="E69">
            <v>4000</v>
          </cell>
        </row>
        <row r="70">
          <cell r="A70" t="str">
            <v>Rockwool 60kg/m3</v>
          </cell>
          <cell r="B70" t="str">
            <v>RW60</v>
          </cell>
          <cell r="C70" t="str">
            <v>m2</v>
          </cell>
          <cell r="E70">
            <v>101000</v>
          </cell>
        </row>
        <row r="71">
          <cell r="A71" t="str">
            <v>Rockwool 100kg/m3</v>
          </cell>
          <cell r="B71" t="str">
            <v>RW100</v>
          </cell>
          <cell r="C71" t="str">
            <v>m2</v>
          </cell>
          <cell r="E71">
            <v>125000</v>
          </cell>
        </row>
        <row r="72">
          <cell r="A72" t="str">
            <v>Mút brob</v>
          </cell>
          <cell r="B72" t="str">
            <v>brob</v>
          </cell>
          <cell r="C72" t="str">
            <v>md</v>
          </cell>
          <cell r="E72">
            <v>4000000</v>
          </cell>
        </row>
        <row r="73">
          <cell r="A73" t="str">
            <v>Băng keo 2 mặt</v>
          </cell>
          <cell r="B73" t="str">
            <v>k2m</v>
          </cell>
          <cell r="C73" t="str">
            <v>md</v>
          </cell>
          <cell r="E73">
            <v>10000</v>
          </cell>
        </row>
        <row r="74">
          <cell r="A74" t="str">
            <v>Silicone DowSil Glass Metal (300ml/chai)</v>
          </cell>
          <cell r="B74" t="str">
            <v>SiliGM</v>
          </cell>
          <cell r="C74" t="str">
            <v>Chai</v>
          </cell>
          <cell r="E74">
            <v>59090.909090909088</v>
          </cell>
          <cell r="F74" t="str">
            <v>Thuận Thành 25/07/2022</v>
          </cell>
        </row>
        <row r="75">
          <cell r="A75" t="str">
            <v>Silicone DowSil 791 (500ml/gói)</v>
          </cell>
          <cell r="B75" t="str">
            <v>Sili791</v>
          </cell>
          <cell r="C75" t="str">
            <v>Gói</v>
          </cell>
          <cell r="E75">
            <v>168181.81818181818</v>
          </cell>
          <cell r="F75" t="str">
            <v>Thuận Thành 25/07/2022</v>
          </cell>
        </row>
        <row r="76">
          <cell r="A76" t="str">
            <v>Silicone DowSil 688 (600ml/gói)</v>
          </cell>
          <cell r="B76" t="str">
            <v>Sili688</v>
          </cell>
          <cell r="C76" t="str">
            <v>Gói</v>
          </cell>
          <cell r="E76">
            <v>160909.09090909088</v>
          </cell>
          <cell r="F76" t="str">
            <v>Thuận Thành 25/07/2022</v>
          </cell>
        </row>
        <row r="77">
          <cell r="A77" t="str">
            <v>Silicone DowSil 795 (600ml/gói)</v>
          </cell>
          <cell r="B77" t="str">
            <v>Sili795</v>
          </cell>
          <cell r="C77" t="str">
            <v>Gói</v>
          </cell>
          <cell r="E77">
            <v>261818.18181818179</v>
          </cell>
          <cell r="F77" t="str">
            <v>Thuận Thành 25/07/2022</v>
          </cell>
        </row>
        <row r="78">
          <cell r="A78" t="str">
            <v>Silicone DowSil 991 (600ml/gói)</v>
          </cell>
          <cell r="B78" t="str">
            <v>Sili991</v>
          </cell>
          <cell r="C78" t="str">
            <v>Gói</v>
          </cell>
          <cell r="E78">
            <v>280000</v>
          </cell>
          <cell r="F78" t="str">
            <v>Thuận Thành 04/05/2022</v>
          </cell>
        </row>
        <row r="79">
          <cell r="A79" t="str">
            <v>Silicone DowSil 983 [2 Part: (250Kg=181.16L) + (19Kg=18.44L)]</v>
          </cell>
          <cell r="B79" t="str">
            <v>Sili983</v>
          </cell>
          <cell r="C79" t="str">
            <v>Kit</v>
          </cell>
          <cell r="E79">
            <v>50636363.636363633</v>
          </cell>
          <cell r="F79" t="str">
            <v>Thuận Thành 25/07/2022; lưu ý phần hao phí</v>
          </cell>
        </row>
        <row r="82">
          <cell r="A82" t="str">
            <v>Tấm Ốp</v>
          </cell>
        </row>
        <row r="83">
          <cell r="A83" t="str">
            <v>Alu Solid dày 1.2mm sơn AAMA2603 màu solid</v>
          </cell>
          <cell r="B83" t="str">
            <v>AluSolid-1.2-3</v>
          </cell>
          <cell r="C83" t="str">
            <v>m2</v>
          </cell>
          <cell r="E83">
            <v>643894.80000000005</v>
          </cell>
          <cell r="F83" t="str">
            <v>Nội suy</v>
          </cell>
        </row>
        <row r="84">
          <cell r="A84" t="str">
            <v>Alu Solid dày 1.2mm sơn AAMA2604 màu solid</v>
          </cell>
          <cell r="B84" t="str">
            <v>AluSolid-1.2-4</v>
          </cell>
          <cell r="C84" t="str">
            <v>m2</v>
          </cell>
          <cell r="E84">
            <v>673894.8</v>
          </cell>
          <cell r="F84" t="str">
            <v>Nội suy</v>
          </cell>
        </row>
        <row r="85">
          <cell r="A85" t="str">
            <v>Alu Solid dày 1.2mm sơn AAMA2605 màu solid</v>
          </cell>
          <cell r="B85" t="str">
            <v>AluSolid-1.2-5</v>
          </cell>
          <cell r="C85" t="str">
            <v>m2</v>
          </cell>
          <cell r="E85">
            <v>1353894.8</v>
          </cell>
          <cell r="F85" t="str">
            <v>Nội suy</v>
          </cell>
        </row>
        <row r="86">
          <cell r="A86" t="str">
            <v>Alu Solid dày 2mm sơn AAMA2603 màu solid</v>
          </cell>
          <cell r="B86" t="str">
            <v>AluSolid-2-3</v>
          </cell>
          <cell r="C86" t="str">
            <v>m2</v>
          </cell>
          <cell r="E86">
            <v>893158</v>
          </cell>
          <cell r="F86" t="str">
            <v>29/04/2022 - TAC</v>
          </cell>
        </row>
        <row r="87">
          <cell r="A87" t="str">
            <v>Alu Solid dày 2mm sơn AAMA2604 màu solid</v>
          </cell>
          <cell r="B87" t="str">
            <v>AluSolid-2-4</v>
          </cell>
          <cell r="C87" t="str">
            <v>m2</v>
          </cell>
          <cell r="E87">
            <v>923158</v>
          </cell>
          <cell r="F87" t="str">
            <v>29/04/2022 - TAC</v>
          </cell>
        </row>
        <row r="88">
          <cell r="A88" t="str">
            <v>Alu Solid dày 2mm sơn AAMA2605 màu solid</v>
          </cell>
          <cell r="B88" t="str">
            <v>AluSolid-2-5</v>
          </cell>
          <cell r="C88" t="str">
            <v>m2</v>
          </cell>
          <cell r="E88">
            <v>1603158</v>
          </cell>
          <cell r="F88" t="str">
            <v>29/04/2022 - TAC</v>
          </cell>
        </row>
        <row r="89">
          <cell r="A89" t="str">
            <v>Alu Solid dày 3mm sơn AAMA2603 màu solid</v>
          </cell>
          <cell r="B89" t="str">
            <v>AluSolid-3-3</v>
          </cell>
          <cell r="C89" t="str">
            <v>m2</v>
          </cell>
          <cell r="E89">
            <v>1206842</v>
          </cell>
          <cell r="F89" t="str">
            <v>29/04/2022 - TAC</v>
          </cell>
        </row>
        <row r="90">
          <cell r="A90" t="str">
            <v>Alu Solid dày 3mm sơn AAMA2604 màu solid</v>
          </cell>
          <cell r="B90" t="str">
            <v>AluSolid-3-4</v>
          </cell>
          <cell r="C90" t="str">
            <v>m2</v>
          </cell>
          <cell r="E90">
            <v>1236842</v>
          </cell>
          <cell r="F90" t="str">
            <v>29/04/2022 - TAC</v>
          </cell>
        </row>
        <row r="91">
          <cell r="A91" t="str">
            <v>Alu Solid dày 3mm sơn AAMA2605 màu solid</v>
          </cell>
          <cell r="B91" t="str">
            <v>AluSolid-3-5</v>
          </cell>
          <cell r="C91" t="str">
            <v>m2</v>
          </cell>
          <cell r="E91">
            <v>1916842</v>
          </cell>
          <cell r="F91" t="str">
            <v>29/04/2022 - TAC</v>
          </cell>
        </row>
        <row r="96">
          <cell r="A96" t="str">
            <v>Chi phí uốn nhôm</v>
          </cell>
        </row>
        <row r="97">
          <cell r="A97" t="str">
            <v>Chi phí uốn nhôm khung fix 3209 phần cong</v>
          </cell>
          <cell r="B97" t="str">
            <v>Uon_3209c</v>
          </cell>
          <cell r="C97" t="str">
            <v>md</v>
          </cell>
          <cell r="E97">
            <v>100000</v>
          </cell>
          <cell r="F97" t="str">
            <v>Phú Hoàn Anh (06/2022)</v>
          </cell>
        </row>
        <row r="98">
          <cell r="A98" t="str">
            <v>Chi phí uốn nhôm khung fix 3209 phần thẳng</v>
          </cell>
          <cell r="B98" t="str">
            <v>Uon_3209t</v>
          </cell>
          <cell r="C98" t="str">
            <v>md</v>
          </cell>
          <cell r="E98">
            <v>80000</v>
          </cell>
          <cell r="F98" t="str">
            <v>Phú Hoàn Anh (06/2022)</v>
          </cell>
        </row>
        <row r="99">
          <cell r="A99" t="str">
            <v>Chi phí uốn nhôm trung gian 3203 phần cong</v>
          </cell>
          <cell r="B99" t="str">
            <v>Uon_3203c</v>
          </cell>
          <cell r="C99" t="str">
            <v>md</v>
          </cell>
          <cell r="E99">
            <v>150000</v>
          </cell>
          <cell r="F99" t="str">
            <v>Phú Hoàn Anh (06/2022)</v>
          </cell>
        </row>
        <row r="100">
          <cell r="A100" t="str">
            <v>Chi phí uốn nhôm trung gian 3203 phần thẳng</v>
          </cell>
          <cell r="B100" t="str">
            <v>Uon_3203t</v>
          </cell>
          <cell r="C100" t="str">
            <v>md</v>
          </cell>
          <cell r="E100">
            <v>80000</v>
          </cell>
          <cell r="F100" t="str">
            <v>Phú Hoàn Anh (06/2022)</v>
          </cell>
        </row>
        <row r="101">
          <cell r="A101" t="str">
            <v>Chi phí uốn nhôm khung bao cửa đi/ cửa sổ phần cong</v>
          </cell>
          <cell r="B101" t="str">
            <v>Uon_KBc</v>
          </cell>
          <cell r="C101" t="str">
            <v>md</v>
          </cell>
          <cell r="E101">
            <v>200000</v>
          </cell>
          <cell r="F101" t="str">
            <v>Phú Hoàn Anh (06/2022)</v>
          </cell>
        </row>
        <row r="102">
          <cell r="A102" t="str">
            <v>Chi phí uốn nhôm khung bao cửa đi/ cửa sổ phần thẳng</v>
          </cell>
          <cell r="B102" t="str">
            <v>Uon_KBt</v>
          </cell>
          <cell r="C102" t="str">
            <v>md</v>
          </cell>
          <cell r="E102">
            <v>100000</v>
          </cell>
          <cell r="F102" t="str">
            <v>Phú Hoàn Anh (06/2022)</v>
          </cell>
        </row>
        <row r="103">
          <cell r="A103" t="str">
            <v>Chi phí uốn nhôm cánh bao cửa đi/ cửa sổ phần cong</v>
          </cell>
          <cell r="B103" t="str">
            <v>Uon_KCc</v>
          </cell>
          <cell r="C103" t="str">
            <v>md</v>
          </cell>
          <cell r="E103">
            <v>250000</v>
          </cell>
          <cell r="F103" t="str">
            <v>Phú Hoàn Anh (06/2022)</v>
          </cell>
        </row>
        <row r="104">
          <cell r="A104" t="str">
            <v>Chi phí uốn nhôm cánh bao cửa đi/ cửa sổ phần thẳng</v>
          </cell>
          <cell r="B104" t="str">
            <v>Uon_KCt</v>
          </cell>
          <cell r="C104" t="str">
            <v>md</v>
          </cell>
          <cell r="E104">
            <v>100000</v>
          </cell>
          <cell r="F104" t="str">
            <v>Phú Hoàn Anh (06/2022)</v>
          </cell>
        </row>
        <row r="105">
          <cell r="A105" t="str">
            <v>Chi phí uốn nhôm mặt dựng</v>
          </cell>
          <cell r="B105" t="str">
            <v>Uon_nhom_md</v>
          </cell>
          <cell r="C105" t="str">
            <v>md</v>
          </cell>
          <cell r="E105">
            <v>360000</v>
          </cell>
          <cell r="F105" t="str">
            <v>Phú Hoàn Anh (06/2022)</v>
          </cell>
        </row>
        <row r="108">
          <cell r="A108" t="str">
            <v>Vật tư thép</v>
          </cell>
        </row>
        <row r="109">
          <cell r="A109" t="str">
            <v>Bát thép mạ kẽm cho mặt dựng</v>
          </cell>
          <cell r="B109" t="str">
            <v>BMT</v>
          </cell>
          <cell r="C109" t="str">
            <v>Cái</v>
          </cell>
          <cell r="E109">
            <v>100000</v>
          </cell>
        </row>
        <row r="113">
          <cell r="A113" t="str">
            <v>Bulong Ốc vít</v>
          </cell>
        </row>
        <row r="114">
          <cell r="A114" t="str">
            <v>Ốc vít</v>
          </cell>
          <cell r="B114" t="str">
            <v>OcVit</v>
          </cell>
          <cell r="C114" t="str">
            <v>Cái</v>
          </cell>
          <cell r="E114">
            <v>600</v>
          </cell>
        </row>
        <row r="115">
          <cell r="A115" t="str">
            <v>Bulong M10x100</v>
          </cell>
          <cell r="B115" t="str">
            <v>M10x100</v>
          </cell>
          <cell r="C115" t="str">
            <v>Chiếc</v>
          </cell>
          <cell r="E115">
            <v>10000</v>
          </cell>
        </row>
        <row r="116">
          <cell r="A116" t="str">
            <v>Bulong M10x60</v>
          </cell>
          <cell r="B116" t="str">
            <v>M10x60</v>
          </cell>
          <cell r="C116" t="str">
            <v>Chiếc</v>
          </cell>
          <cell r="E116">
            <v>7800</v>
          </cell>
        </row>
        <row r="117">
          <cell r="A117" t="str">
            <v>Bulong M10x220</v>
          </cell>
          <cell r="B117" t="str">
            <v>M10x220</v>
          </cell>
          <cell r="C117" t="str">
            <v>Chiếc</v>
          </cell>
          <cell r="E117">
            <v>25000</v>
          </cell>
        </row>
        <row r="121">
          <cell r="A121" t="str">
            <v>Lan can inox</v>
          </cell>
        </row>
        <row r="122">
          <cell r="A122" t="str">
            <v>Tay nắm Inox 304 D60x1.2mm</v>
          </cell>
          <cell r="B122" t="str">
            <v>taynam60x1.2mm</v>
          </cell>
          <cell r="C122" t="str">
            <v>Md</v>
          </cell>
          <cell r="E122">
            <v>300000</v>
          </cell>
        </row>
        <row r="123">
          <cell r="A123" t="str">
            <v>Uinox (L 2.44m ) 20x13x20x1.2mm</v>
          </cell>
          <cell r="B123" t="str">
            <v>U20x13x20x1.2mm</v>
          </cell>
          <cell r="C123" t="str">
            <v>Md</v>
          </cell>
          <cell r="E123">
            <v>100000</v>
          </cell>
        </row>
        <row r="124">
          <cell r="A124" t="str">
            <v>Trụ lan can biên 1325x100x10mm</v>
          </cell>
          <cell r="B124" t="str">
            <v>Trubien1325x100x10mm</v>
          </cell>
          <cell r="C124" t="str">
            <v>Chiếc</v>
          </cell>
          <cell r="E124">
            <v>1500000</v>
          </cell>
        </row>
        <row r="125">
          <cell r="A125" t="str">
            <v>Trụ lan can giữa 1325x100x10mm</v>
          </cell>
          <cell r="B125" t="str">
            <v>Trugiua1325x100x10mm</v>
          </cell>
          <cell r="C125" t="str">
            <v>Chiếc</v>
          </cell>
          <cell r="E125">
            <v>1600000</v>
          </cell>
        </row>
        <row r="126">
          <cell r="A126" t="str">
            <v xml:space="preserve">Mặt bích </v>
          </cell>
          <cell r="B126" t="str">
            <v>matbich60x1.2mm</v>
          </cell>
          <cell r="C126" t="str">
            <v>Chiếc</v>
          </cell>
          <cell r="E126">
            <v>75000</v>
          </cell>
        </row>
        <row r="127">
          <cell r="A127" t="str">
            <v>Tay vịn gỗ</v>
          </cell>
          <cell r="B127" t="str">
            <v>tayvingo</v>
          </cell>
          <cell r="C127" t="str">
            <v>Md</v>
          </cell>
          <cell r="E127">
            <v>700000</v>
          </cell>
        </row>
        <row r="128">
          <cell r="A128" t="str">
            <v>Tay vịn lan can 20x100x2mm</v>
          </cell>
          <cell r="B128" t="str">
            <v>tayvin20x100x2mm</v>
          </cell>
          <cell r="C128" t="str">
            <v>Md</v>
          </cell>
          <cell r="E128">
            <v>320000</v>
          </cell>
        </row>
      </sheetData>
      <sheetData sheetId="14">
        <row r="3">
          <cell r="C3" t="str">
            <v>Diễn giải</v>
          </cell>
          <cell r="D3" t="str">
            <v>Mã hàng</v>
          </cell>
          <cell r="E3" t="str">
            <v>Trọng lượng
(kg/ m)</v>
          </cell>
        </row>
        <row r="6">
          <cell r="C6" t="str">
            <v>Khung bao</v>
          </cell>
          <cell r="D6" t="str">
            <v>WSAD-5015</v>
          </cell>
          <cell r="E6">
            <v>0.875</v>
          </cell>
        </row>
        <row r="7">
          <cell r="C7" t="str">
            <v>Khung cánh mở ra</v>
          </cell>
          <cell r="D7" t="str">
            <v>WSAD-5016</v>
          </cell>
          <cell r="E7">
            <v>1.1120000000000001</v>
          </cell>
        </row>
        <row r="8">
          <cell r="C8" t="str">
            <v>Khung cánh mở vào</v>
          </cell>
          <cell r="D8" t="str">
            <v>WSAD-5017</v>
          </cell>
          <cell r="E8">
            <v>1.1259999999999999</v>
          </cell>
        </row>
        <row r="9">
          <cell r="C9" t="str">
            <v>Đố động</v>
          </cell>
          <cell r="D9" t="str">
            <v>WSAD-5018</v>
          </cell>
          <cell r="E9">
            <v>0.66900000000000004</v>
          </cell>
        </row>
        <row r="10">
          <cell r="C10" t="str">
            <v>Nẹp chân</v>
          </cell>
          <cell r="D10" t="str">
            <v>WSAD-5019</v>
          </cell>
          <cell r="E10">
            <v>0.14000000000000001</v>
          </cell>
        </row>
        <row r="11">
          <cell r="C11" t="str">
            <v>Ngưỡng cửa</v>
          </cell>
          <cell r="D11" t="str">
            <v>WSAD-5020</v>
          </cell>
          <cell r="E11">
            <v>0.53500000000000003</v>
          </cell>
        </row>
        <row r="12">
          <cell r="C12" t="str">
            <v>Thanh gia cường</v>
          </cell>
          <cell r="D12" t="str">
            <v>WSAD-5021</v>
          </cell>
          <cell r="E12">
            <v>1.079</v>
          </cell>
        </row>
        <row r="13">
          <cell r="C13" t="str">
            <v>Nẹp kính</v>
          </cell>
          <cell r="D13" t="str">
            <v>WSAD-5007</v>
          </cell>
          <cell r="E13">
            <v>0.22700000000000001</v>
          </cell>
        </row>
        <row r="14">
          <cell r="C14" t="str">
            <v>Ke góc</v>
          </cell>
          <cell r="D14" t="str">
            <v>F347</v>
          </cell>
          <cell r="E14">
            <v>4.7862979799999996</v>
          </cell>
        </row>
        <row r="22">
          <cell r="C22" t="str">
            <v>Khung bao cố định</v>
          </cell>
          <cell r="D22" t="str">
            <v>WSAW-5001</v>
          </cell>
          <cell r="E22">
            <v>0.66100000000000003</v>
          </cell>
        </row>
        <row r="23">
          <cell r="C23" t="str">
            <v>Khung bao cửa sổ</v>
          </cell>
          <cell r="D23" t="str">
            <v>WSAW-5002</v>
          </cell>
          <cell r="E23">
            <v>0.63600000000000001</v>
          </cell>
        </row>
        <row r="24">
          <cell r="C24" t="str">
            <v>Thanh trung gian</v>
          </cell>
          <cell r="D24" t="str">
            <v>WSAW-5003</v>
          </cell>
          <cell r="E24">
            <v>0.745</v>
          </cell>
        </row>
        <row r="25">
          <cell r="C25" t="str">
            <v>Thanh trung gian lớn</v>
          </cell>
          <cell r="D25" t="str">
            <v>WSAW-5004</v>
          </cell>
          <cell r="E25">
            <v>1.0549999999999999</v>
          </cell>
        </row>
        <row r="26">
          <cell r="C26" t="str">
            <v>Thanh chuyển khung</v>
          </cell>
          <cell r="D26" t="str">
            <v>WSAW-5005</v>
          </cell>
          <cell r="E26">
            <v>0.55200000000000005</v>
          </cell>
        </row>
        <row r="27">
          <cell r="C27" t="str">
            <v>Khung cánh cửa sổ</v>
          </cell>
          <cell r="D27" t="str">
            <v>WSAW-5006</v>
          </cell>
          <cell r="E27">
            <v>0.80200000000000005</v>
          </cell>
        </row>
        <row r="28">
          <cell r="C28" t="str">
            <v>Nẹp kính</v>
          </cell>
          <cell r="D28" t="str">
            <v>WSAW-5007</v>
          </cell>
          <cell r="E28">
            <v>0.22500000000000001</v>
          </cell>
        </row>
        <row r="29">
          <cell r="C29" t="str">
            <v>Nẹp kính</v>
          </cell>
          <cell r="D29" t="str">
            <v>WSAW-5008</v>
          </cell>
          <cell r="E29">
            <v>0.17100000000000001</v>
          </cell>
        </row>
        <row r="30">
          <cell r="C30" t="str">
            <v>Thanh nối khung</v>
          </cell>
          <cell r="D30" t="str">
            <v>WSAW-5009</v>
          </cell>
          <cell r="E30">
            <v>0.21099999999999999</v>
          </cell>
        </row>
        <row r="31">
          <cell r="C31" t="str">
            <v>Ke góc khung cánh cửa sổ</v>
          </cell>
          <cell r="D31" t="str">
            <v>ALWS-BK010</v>
          </cell>
          <cell r="E31">
            <v>1.7150000000000001</v>
          </cell>
        </row>
        <row r="32">
          <cell r="C32" t="str">
            <v>Ke góc</v>
          </cell>
          <cell r="D32" t="str">
            <v>ALWS-BK007-1</v>
          </cell>
          <cell r="E32">
            <v>1.2315710499999999</v>
          </cell>
        </row>
        <row r="43">
          <cell r="C43" t="str">
            <v>Khung bao sổ lùa</v>
          </cell>
          <cell r="D43" t="str">
            <v>WSAW-5010</v>
          </cell>
          <cell r="E43">
            <v>0.90100000000000002</v>
          </cell>
        </row>
        <row r="44">
          <cell r="C44" t="str">
            <v>Khung cánh sổ lùa</v>
          </cell>
          <cell r="D44" t="str">
            <v>WSAW-5011</v>
          </cell>
          <cell r="E44">
            <v>0.67600000000000005</v>
          </cell>
        </row>
        <row r="45">
          <cell r="C45" t="str">
            <v>Thanh móc sổ lùa</v>
          </cell>
          <cell r="D45" t="str">
            <v>WSAW-5012</v>
          </cell>
          <cell r="E45">
            <v>0.246</v>
          </cell>
        </row>
        <row r="46">
          <cell r="C46" t="str">
            <v>Thanh khóa cánh</v>
          </cell>
          <cell r="D46" t="str">
            <v>WSAW-5013</v>
          </cell>
          <cell r="E46">
            <v>0.26800000000000002</v>
          </cell>
        </row>
        <row r="47">
          <cell r="C47" t="str">
            <v>Thanh ray</v>
          </cell>
          <cell r="D47" t="str">
            <v>WSAW-5014</v>
          </cell>
          <cell r="E47">
            <v>9.2999999999999999E-2</v>
          </cell>
        </row>
        <row r="48">
          <cell r="C48" t="str">
            <v>Ke khung cánh (hệ XingFa)</v>
          </cell>
          <cell r="D48" t="str">
            <v>XF01687</v>
          </cell>
          <cell r="E48">
            <v>2.0640000000000001</v>
          </cell>
        </row>
        <row r="59">
          <cell r="C59" t="str">
            <v>Khung bao đứng/trên 2 ray</v>
          </cell>
          <cell r="D59" t="str">
            <v>WSSL-06501</v>
          </cell>
          <cell r="E59">
            <v>0.88800000000000001</v>
          </cell>
        </row>
        <row r="60">
          <cell r="C60" t="str">
            <v>Khung bao dưới 2 ray</v>
          </cell>
          <cell r="D60" t="str">
            <v>WSSL-06502</v>
          </cell>
          <cell r="E60">
            <v>1.038</v>
          </cell>
        </row>
        <row r="61">
          <cell r="C61" t="str">
            <v>Khung bao ô cố định</v>
          </cell>
          <cell r="D61" t="str">
            <v>WSSL-06503</v>
          </cell>
          <cell r="E61">
            <v>0.68899999999999995</v>
          </cell>
        </row>
        <row r="62">
          <cell r="C62" t="str">
            <v>Khung bao đứng/trên 3 ray</v>
          </cell>
          <cell r="D62" t="str">
            <v>WSSL-06504</v>
          </cell>
          <cell r="E62">
            <v>1.351</v>
          </cell>
        </row>
        <row r="63">
          <cell r="C63" t="str">
            <v>Khung bao dưới 3 ray</v>
          </cell>
          <cell r="D63" t="str">
            <v>WSSL-06505</v>
          </cell>
          <cell r="E63">
            <v>1.5780000000000001</v>
          </cell>
        </row>
        <row r="64">
          <cell r="C64" t="str">
            <v>Nẹp ray</v>
          </cell>
          <cell r="D64" t="str">
            <v>WSSL-06506</v>
          </cell>
          <cell r="E64">
            <v>0.185</v>
          </cell>
        </row>
        <row r="65">
          <cell r="C65" t="str">
            <v>Khung cánh</v>
          </cell>
          <cell r="D65" t="str">
            <v>WSSL-06507</v>
          </cell>
          <cell r="E65">
            <v>0.73399999999999999</v>
          </cell>
        </row>
        <row r="66">
          <cell r="C66" t="str">
            <v>Nẹp kính</v>
          </cell>
          <cell r="D66" t="str">
            <v>WSSL-06508</v>
          </cell>
          <cell r="E66">
            <v>0.158</v>
          </cell>
        </row>
        <row r="67">
          <cell r="C67" t="str">
            <v>Nẹp móc nhỏ</v>
          </cell>
          <cell r="D67" t="str">
            <v>WSSL-06509</v>
          </cell>
          <cell r="E67">
            <v>0.35299999999999998</v>
          </cell>
        </row>
        <row r="68">
          <cell r="C68" t="str">
            <v>Nẹp móc lớn</v>
          </cell>
          <cell r="D68" t="str">
            <v>WSSL-06510</v>
          </cell>
          <cell r="E68">
            <v>0.96299999999999997</v>
          </cell>
        </row>
        <row r="69">
          <cell r="C69" t="str">
            <v>Nối khung</v>
          </cell>
          <cell r="D69" t="str">
            <v>WSSL-06511</v>
          </cell>
          <cell r="E69">
            <v>0.26500000000000001</v>
          </cell>
        </row>
        <row r="70">
          <cell r="C70" t="str">
            <v>Đối đầu</v>
          </cell>
          <cell r="D70" t="str">
            <v>WSSL-06512</v>
          </cell>
          <cell r="E70">
            <v>0.33300000000000002</v>
          </cell>
        </row>
        <row r="71">
          <cell r="C71" t="str">
            <v>Ke góc</v>
          </cell>
          <cell r="D71" t="str">
            <v>WSBK-011</v>
          </cell>
          <cell r="E71">
            <v>2.2269999999999999</v>
          </cell>
        </row>
        <row r="79">
          <cell r="C79" t="str">
            <v>Đố đứng 65x120</v>
          </cell>
          <cell r="D79" t="str">
            <v>MDTP-651</v>
          </cell>
          <cell r="E79">
            <v>2.5682834690330996</v>
          </cell>
        </row>
        <row r="80">
          <cell r="C80" t="str">
            <v>Ốp đố</v>
          </cell>
          <cell r="D80" t="str">
            <v>MDTP-653</v>
          </cell>
          <cell r="E80">
            <v>0.55973828754480004</v>
          </cell>
        </row>
        <row r="81">
          <cell r="C81" t="str">
            <v>Nẹp ốp đố</v>
          </cell>
          <cell r="D81" t="str">
            <v>MDTP-654</v>
          </cell>
          <cell r="E81">
            <v>0.4767964673199</v>
          </cell>
        </row>
        <row r="82">
          <cell r="C82" t="str">
            <v>Nối đố</v>
          </cell>
          <cell r="D82" t="str">
            <v>MDTP-657</v>
          </cell>
          <cell r="E82">
            <v>1.8532003993502999</v>
          </cell>
        </row>
        <row r="89">
          <cell r="C89" t="str">
            <v>Khung bao đứng 2 ray</v>
          </cell>
          <cell r="D89" t="str">
            <v>ALWS1001G-13</v>
          </cell>
          <cell r="E89">
            <v>1.0202965584084001</v>
          </cell>
        </row>
        <row r="90">
          <cell r="C90" t="str">
            <v>Khung bao trên 2 ray</v>
          </cell>
          <cell r="D90" t="str">
            <v>ALWS1002G-13</v>
          </cell>
          <cell r="E90">
            <v>1.214077553871</v>
          </cell>
        </row>
        <row r="91">
          <cell r="C91" t="str">
            <v>Khung bao dưới 2 ray</v>
          </cell>
          <cell r="D91" t="str">
            <v>ALWS1003G-13</v>
          </cell>
          <cell r="E91">
            <v>1.2181469113086001</v>
          </cell>
        </row>
        <row r="92">
          <cell r="C92" t="str">
            <v>Khung bao đứng 3 ray</v>
          </cell>
          <cell r="D92" t="str">
            <v>ALWS1014G</v>
          </cell>
          <cell r="E92">
            <v>1.4186590725216</v>
          </cell>
        </row>
        <row r="93">
          <cell r="C93" t="str">
            <v>Khung bao trên 3 ray</v>
          </cell>
          <cell r="D93" t="str">
            <v>ALWS1013G</v>
          </cell>
          <cell r="E93">
            <v>1.7303046275423999</v>
          </cell>
        </row>
        <row r="94">
          <cell r="C94" t="str">
            <v>Khung bao dưới 3 ray</v>
          </cell>
          <cell r="D94" t="str">
            <v>ALWS1012G</v>
          </cell>
          <cell r="E94">
            <v>1.7187113583822002</v>
          </cell>
        </row>
        <row r="95">
          <cell r="C95" t="str">
            <v>Cánh đứng trơn</v>
          </cell>
          <cell r="D95" t="str">
            <v>ALWS1030G</v>
          </cell>
          <cell r="E95">
            <v>1.2074916734244001</v>
          </cell>
        </row>
        <row r="96">
          <cell r="C96" t="str">
            <v>Cánh đứng trơn có gù</v>
          </cell>
          <cell r="D96" t="str">
            <v>ALWS1033G</v>
          </cell>
          <cell r="E96">
            <v>1.7007951841062001</v>
          </cell>
        </row>
        <row r="97">
          <cell r="C97" t="str">
            <v>Cánh đứng móc</v>
          </cell>
          <cell r="D97" t="str">
            <v>ALWS1031G</v>
          </cell>
          <cell r="E97">
            <v>0.97726343381939984</v>
          </cell>
        </row>
        <row r="98">
          <cell r="C98" t="str">
            <v>Cánh đứng móc có gù</v>
          </cell>
          <cell r="D98" t="str">
            <v>ALWS1032G</v>
          </cell>
          <cell r="E98">
            <v>1.4969382236171997</v>
          </cell>
        </row>
        <row r="99">
          <cell r="C99" t="str">
            <v>Đứng đối đầu</v>
          </cell>
          <cell r="D99" t="str">
            <v>ALWS1006G-R1</v>
          </cell>
          <cell r="E99">
            <v>0.52838555340479998</v>
          </cell>
        </row>
        <row r="100">
          <cell r="C100" t="str">
            <v>Ngang trên</v>
          </cell>
          <cell r="D100" t="str">
            <v>ALWS-1034G</v>
          </cell>
          <cell r="E100">
            <v>0.90870006888569999</v>
          </cell>
        </row>
        <row r="101">
          <cell r="C101" t="str">
            <v>Ngang dưới</v>
          </cell>
          <cell r="D101" t="str">
            <v>ALWS-1035G</v>
          </cell>
          <cell r="E101">
            <v>1.0084376577638998</v>
          </cell>
        </row>
        <row r="111">
          <cell r="C111" t="str">
            <v>Khung bao (1.2mm)</v>
          </cell>
          <cell r="D111" t="str">
            <v>ALGB-5501</v>
          </cell>
          <cell r="E111">
            <v>0.94178529899999985</v>
          </cell>
        </row>
        <row r="112">
          <cell r="C112" t="str">
            <v>Cánh (1.3mm)</v>
          </cell>
          <cell r="D112" t="str">
            <v>ALWS6518G</v>
          </cell>
          <cell r="E112">
            <v>0.67932910499999999</v>
          </cell>
        </row>
        <row r="113">
          <cell r="C113" t="str">
            <v>Nẹp tạo móc (1.2mm)</v>
          </cell>
          <cell r="D113" t="str">
            <v>ALWS6515G</v>
          </cell>
          <cell r="E113">
            <v>0.29041739999999999</v>
          </cell>
        </row>
        <row r="114">
          <cell r="C114" t="str">
            <v>Nẹp kính (1.0mm)</v>
          </cell>
          <cell r="D114" t="str">
            <v>ALWS5369G</v>
          </cell>
          <cell r="E114">
            <v>0.14392095900000001</v>
          </cell>
        </row>
        <row r="115">
          <cell r="C115" t="str">
            <v>Ke góc</v>
          </cell>
          <cell r="D115" t="str">
            <v>ALWS-BK006</v>
          </cell>
          <cell r="E115">
            <v>0.98688517200000003</v>
          </cell>
        </row>
        <row r="121">
          <cell r="C121" t="str">
            <v>Khung bao (1.4mm)</v>
          </cell>
          <cell r="D121" t="str">
            <v>ALGB3328G</v>
          </cell>
          <cell r="E121">
            <v>0.91177587462780008</v>
          </cell>
        </row>
        <row r="122">
          <cell r="C122" t="str">
            <v>Khung cánh chữ T (1.4mm)</v>
          </cell>
          <cell r="D122" t="str">
            <v>ALGB3303G</v>
          </cell>
          <cell r="E122">
            <v>1.1073166910442001</v>
          </cell>
        </row>
        <row r="123">
          <cell r="C123" t="str">
            <v>Khung cánh chữ Z (1.2mm)</v>
          </cell>
          <cell r="D123" t="str">
            <v>ALGB3332G</v>
          </cell>
          <cell r="E123">
            <v>1.1073166910168999</v>
          </cell>
        </row>
        <row r="124">
          <cell r="C124" t="str">
            <v>Đố động (1.8mm)</v>
          </cell>
          <cell r="D124" t="str">
            <v xml:space="preserve">TPXF-3323A </v>
          </cell>
          <cell r="E124">
            <v>0.95419496788979996</v>
          </cell>
        </row>
        <row r="125">
          <cell r="C125" t="str">
            <v>Ốp quét dưới (1.8mm)</v>
          </cell>
          <cell r="D125" t="str">
            <v>TPXF-3329A</v>
          </cell>
          <cell r="E125">
            <v>0.47916078163589998</v>
          </cell>
        </row>
        <row r="126">
          <cell r="C126" t="str">
            <v>Nẹp kính cánh (1.0mm)</v>
          </cell>
          <cell r="D126" t="str">
            <v>TPXF-3236</v>
          </cell>
          <cell r="E126">
            <v>0.230690938023</v>
          </cell>
        </row>
        <row r="127">
          <cell r="C127" t="str">
            <v>Ke góc</v>
          </cell>
          <cell r="D127" t="str">
            <v>NS-F347</v>
          </cell>
          <cell r="E127">
            <v>4.7862979839401998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3">
          <cell r="C133" t="str">
            <v>Khung bao louver</v>
          </cell>
          <cell r="D133" t="str">
            <v>ALGB-07401</v>
          </cell>
          <cell r="E133">
            <v>0.57303356564999997</v>
          </cell>
        </row>
        <row r="134">
          <cell r="C134" t="str">
            <v>Khung bao SubFrame</v>
          </cell>
          <cell r="D134" t="str">
            <v>ALGB-07400</v>
          </cell>
          <cell r="E134">
            <v>0.70969581640230006</v>
          </cell>
        </row>
        <row r="135">
          <cell r="C135" t="str">
            <v>Nẹp SubFrame</v>
          </cell>
          <cell r="D135" t="str">
            <v>ALWS 6507G</v>
          </cell>
          <cell r="E135">
            <v>0.11256116183129999</v>
          </cell>
        </row>
        <row r="136">
          <cell r="C136" t="str">
            <v xml:space="preserve">Lá louver </v>
          </cell>
          <cell r="D136" t="str">
            <v>ALGB-LV074G</v>
          </cell>
          <cell r="E136">
            <v>0.68302457919150006</v>
          </cell>
        </row>
        <row r="137">
          <cell r="C137" t="str">
            <v>Đỡ khung bao louver</v>
          </cell>
          <cell r="D137" t="str">
            <v>ALWS6508G</v>
          </cell>
          <cell r="E137">
            <v>0.38469432390480002</v>
          </cell>
        </row>
        <row r="140">
          <cell r="C140" t="str">
            <v>Khung bao đứng</v>
          </cell>
          <cell r="D140" t="str">
            <v>PR55-02</v>
          </cell>
          <cell r="E140">
            <v>1.1526897723159</v>
          </cell>
        </row>
        <row r="141">
          <cell r="C141" t="str">
            <v>Ray ngang trên</v>
          </cell>
          <cell r="D141" t="str">
            <v>PR55-25</v>
          </cell>
          <cell r="E141">
            <v>0.98685443383800009</v>
          </cell>
        </row>
        <row r="142">
          <cell r="C142" t="str">
            <v>Ray ngang dưới</v>
          </cell>
          <cell r="D142" t="str">
            <v>PR55-47</v>
          </cell>
          <cell r="E142">
            <v>0.98685443383800009</v>
          </cell>
        </row>
        <row r="143">
          <cell r="C143" t="str">
            <v>Nẹp ray dưới</v>
          </cell>
          <cell r="D143" t="str">
            <v>PR55-48</v>
          </cell>
          <cell r="E143">
            <v>0.72617906279099997</v>
          </cell>
        </row>
        <row r="144">
          <cell r="C144" t="str">
            <v>Cánh chữ T</v>
          </cell>
          <cell r="D144" t="str">
            <v>PR55-08</v>
          </cell>
          <cell r="E144">
            <v>1.7154945377115001</v>
          </cell>
        </row>
        <row r="145">
          <cell r="C145" t="str">
            <v>Cánh chữ Z</v>
          </cell>
          <cell r="D145" t="str">
            <v>PR55-09</v>
          </cell>
          <cell r="E145">
            <v>1.7155102540758</v>
          </cell>
        </row>
        <row r="146">
          <cell r="C146" t="str">
            <v>Nẹp cánh ngang dưới</v>
          </cell>
          <cell r="D146" t="str">
            <v>PR55-26</v>
          </cell>
          <cell r="E146">
            <v>0.1616079636444</v>
          </cell>
        </row>
        <row r="147">
          <cell r="C147" t="str">
            <v>Đố trung gian</v>
          </cell>
          <cell r="D147" t="str">
            <v>PR55-04</v>
          </cell>
          <cell r="E147">
            <v>0.97051545509100001</v>
          </cell>
        </row>
        <row r="148">
          <cell r="C148" t="str">
            <v>Nẹp kính cánh</v>
          </cell>
          <cell r="D148" t="str">
            <v>PR55-19</v>
          </cell>
          <cell r="E148">
            <v>0.24355193460779997</v>
          </cell>
        </row>
        <row r="149">
          <cell r="E149">
            <v>0</v>
          </cell>
        </row>
        <row r="150">
          <cell r="E150">
            <v>0</v>
          </cell>
        </row>
        <row r="151">
          <cell r="E151">
            <v>0</v>
          </cell>
        </row>
        <row r="153">
          <cell r="C153" t="str">
            <v>Khung bao đứng/ dưới</v>
          </cell>
          <cell r="D153" t="str">
            <v>7001A</v>
          </cell>
          <cell r="E153">
            <v>1.8819999999999999</v>
          </cell>
        </row>
        <row r="154">
          <cell r="C154" t="str">
            <v>Ray ngang trên</v>
          </cell>
          <cell r="D154">
            <v>7003</v>
          </cell>
          <cell r="E154">
            <v>1.93</v>
          </cell>
        </row>
        <row r="155">
          <cell r="C155" t="str">
            <v>Cánh</v>
          </cell>
          <cell r="D155">
            <v>7002</v>
          </cell>
          <cell r="E155">
            <v>1.996</v>
          </cell>
        </row>
        <row r="156">
          <cell r="C156" t="str">
            <v>Nẹp ray trên/ dưới</v>
          </cell>
          <cell r="D156">
            <v>7004</v>
          </cell>
          <cell r="E156">
            <v>0.71599999999999997</v>
          </cell>
        </row>
        <row r="157">
          <cell r="C157" t="str">
            <v>Nẹp kính cánh</v>
          </cell>
          <cell r="D157">
            <v>7006</v>
          </cell>
          <cell r="E157">
            <v>0.28499999999999998</v>
          </cell>
        </row>
        <row r="158">
          <cell r="C158" t="str">
            <v>Ke</v>
          </cell>
          <cell r="E158">
            <v>0</v>
          </cell>
        </row>
        <row r="159">
          <cell r="E159">
            <v>0</v>
          </cell>
        </row>
        <row r="160">
          <cell r="E160">
            <v>0</v>
          </cell>
        </row>
        <row r="161">
          <cell r="E161">
            <v>0</v>
          </cell>
        </row>
        <row r="162">
          <cell r="E162">
            <v>0</v>
          </cell>
        </row>
        <row r="163">
          <cell r="E163">
            <v>0</v>
          </cell>
        </row>
      </sheetData>
      <sheetData sheetId="15">
        <row r="1">
          <cell r="A1" t="str">
            <v>DIỄN GIẢI</v>
          </cell>
          <cell r="B1" t="str">
            <v>MÃ</v>
          </cell>
          <cell r="D1" t="str">
            <v>GIÁ
(CHƯA VAT)</v>
          </cell>
        </row>
        <row r="2">
          <cell r="A2" t="str">
            <v>Kính trắng cường lực dày 4mm</v>
          </cell>
          <cell r="B2" t="str">
            <v>k4cl</v>
          </cell>
          <cell r="D2">
            <v>0</v>
          </cell>
          <cell r="I2">
            <v>30000</v>
          </cell>
        </row>
        <row r="3">
          <cell r="A3" t="str">
            <v>Kính trắng cường lực dày 5mm</v>
          </cell>
          <cell r="B3" t="str">
            <v>k5cl</v>
          </cell>
          <cell r="D3">
            <v>231481.48148148146</v>
          </cell>
          <cell r="I3">
            <v>30000</v>
          </cell>
        </row>
        <row r="4">
          <cell r="A4" t="str">
            <v>Kính trắng cường lực dày 6mm</v>
          </cell>
          <cell r="B4" t="str">
            <v>k6cl</v>
          </cell>
          <cell r="D4">
            <v>271296.29629629629</v>
          </cell>
          <cell r="I4">
            <v>0</v>
          </cell>
        </row>
        <row r="5">
          <cell r="A5" t="str">
            <v>Kính trắng cường lực dày 8mm</v>
          </cell>
          <cell r="B5" t="str">
            <v>k8cl</v>
          </cell>
          <cell r="D5">
            <v>353703.70370370371</v>
          </cell>
          <cell r="I5">
            <v>50000</v>
          </cell>
        </row>
        <row r="6">
          <cell r="A6" t="str">
            <v>Kính trắng cường lực dày 10mm</v>
          </cell>
          <cell r="B6" t="str">
            <v>k10cl</v>
          </cell>
          <cell r="D6">
            <v>441666.66666666663</v>
          </cell>
          <cell r="I6">
            <v>100000</v>
          </cell>
        </row>
        <row r="7">
          <cell r="A7" t="str">
            <v>Kính trắng cường lực dày 12mm</v>
          </cell>
          <cell r="B7" t="str">
            <v>k12cl</v>
          </cell>
          <cell r="D7">
            <v>534259.25925925921</v>
          </cell>
          <cell r="I7">
            <v>98000</v>
          </cell>
        </row>
        <row r="8">
          <cell r="A8" t="str">
            <v>Kính trắng cường lực dày 15mm</v>
          </cell>
          <cell r="B8" t="str">
            <v>k15cl</v>
          </cell>
          <cell r="D8">
            <v>0</v>
          </cell>
          <cell r="I8">
            <v>116300</v>
          </cell>
          <cell r="K8" t="str">
            <v>AAMA2604</v>
          </cell>
        </row>
        <row r="9">
          <cell r="A9" t="str">
            <v>Kính trắng cường lực dày 19mm</v>
          </cell>
          <cell r="B9" t="str">
            <v>k19cl</v>
          </cell>
          <cell r="D9">
            <v>0</v>
          </cell>
          <cell r="I9">
            <v>116300</v>
          </cell>
        </row>
        <row r="10">
          <cell r="A10" t="str">
            <v>Kính dán dày 6.38mm (3mm kính trắng + 0.38mm PVB + 3mm kính trắng)</v>
          </cell>
          <cell r="B10" t="str">
            <v>k638d</v>
          </cell>
          <cell r="D10">
            <v>360185.18518518517</v>
          </cell>
          <cell r="I10">
            <v>116300</v>
          </cell>
        </row>
        <row r="11">
          <cell r="A11" t="str">
            <v>Kính dán dày 8.38mm (4mm kính trắng + 0.38mm PVB + 4mm kính trắng)</v>
          </cell>
          <cell r="B11" t="str">
            <v>k838d</v>
          </cell>
          <cell r="D11">
            <v>413888.88888888888</v>
          </cell>
          <cell r="I11">
            <v>116300</v>
          </cell>
          <cell r="K11" t="str">
            <v>AAMA2604</v>
          </cell>
        </row>
        <row r="12">
          <cell r="A12" t="str">
            <v>Kính dán dày 10.38mm (5mm kính trắng + 0.38mm PVB + 5mm kính trắng)</v>
          </cell>
          <cell r="B12" t="str">
            <v>k1038d</v>
          </cell>
          <cell r="D12">
            <v>0</v>
          </cell>
          <cell r="I12">
            <v>116300</v>
          </cell>
          <cell r="K12" t="str">
            <v>AAMA2605</v>
          </cell>
        </row>
        <row r="13">
          <cell r="A13" t="str">
            <v>Kính dán dày 12.38mm (6mm kính trắng + 0.38mm PVB + 6mm kính trắng thường)</v>
          </cell>
          <cell r="B13" t="str">
            <v>k1238d</v>
          </cell>
          <cell r="D13">
            <v>0</v>
          </cell>
        </row>
        <row r="14">
          <cell r="A14" t="str">
            <v>Kính dán dày 12.76mm (6mm trắng cường lực + 0.76mm PVB trắng + 6mm trắng cường lực)</v>
          </cell>
          <cell r="B14" t="str">
            <v>k1276dcl</v>
          </cell>
          <cell r="D14">
            <v>0</v>
          </cell>
        </row>
        <row r="15">
          <cell r="A15" t="str">
            <v>Kính dán dày 13.14mm (6mm trắng cường lực + 1.14mm PVB trắng + 6mm trắng cường lực)</v>
          </cell>
          <cell r="B15" t="str">
            <v>k1314dcl</v>
          </cell>
          <cell r="D15">
            <v>828703.70370370359</v>
          </cell>
          <cell r="I15">
            <v>270000</v>
          </cell>
        </row>
        <row r="16">
          <cell r="A16" t="str">
            <v>Kính dán dày 13.52mm (6mm trắng cường lực + 1.52mm PVB trắng + 6mm trắng cường lực)</v>
          </cell>
          <cell r="B16" t="str">
            <v>k1352dcl</v>
          </cell>
          <cell r="D16">
            <v>921296.29629629629</v>
          </cell>
        </row>
        <row r="17">
          <cell r="A17" t="str">
            <v>Kính dán dày 17.52mm (8mm trắng cường lực + 1.52mm PVB trắng + 8mm trắng cường lực)</v>
          </cell>
          <cell r="B17" t="str">
            <v>k1752dcl</v>
          </cell>
          <cell r="D17">
            <v>1111111.111111111</v>
          </cell>
        </row>
        <row r="18">
          <cell r="A18" t="str">
            <v>Kính dán dày 21.52mm (10mm trắng cường lực + 1.52mm PVB trắng + 10mm trắng cường lực)</v>
          </cell>
          <cell r="B18" t="str">
            <v>k2152dcl</v>
          </cell>
          <cell r="D18">
            <v>0</v>
          </cell>
        </row>
        <row r="19">
          <cell r="A19" t="str">
            <v>Kính hộp 19mm (5mm bán cường lực + 9mm Spacer + 5mm trắng bán cường lực)</v>
          </cell>
          <cell r="B19" t="str">
            <v>k19h</v>
          </cell>
          <cell r="D19">
            <v>0</v>
          </cell>
        </row>
        <row r="20">
          <cell r="A20" t="str">
            <v>Kính hộp 21mm (6mm bán cường lực + 9mm Spacer + 6mm trắng bán cường lực)</v>
          </cell>
          <cell r="B20" t="str">
            <v>k21h</v>
          </cell>
          <cell r="D20">
            <v>0</v>
          </cell>
        </row>
        <row r="21">
          <cell r="A21" t="str">
            <v>Kính hộp 24mm (6mm bán cường lực + 12mm Spacer + 6mm trắng bán cường lực)</v>
          </cell>
          <cell r="B21" t="str">
            <v>k24h</v>
          </cell>
          <cell r="D21">
            <v>0</v>
          </cell>
        </row>
        <row r="22">
          <cell r="I22">
            <v>270000</v>
          </cell>
        </row>
        <row r="25">
          <cell r="A25" t="str">
            <v>Phun cát mờ 1 mặt (kính 8, 10, 12mm)</v>
          </cell>
          <cell r="B25" t="str">
            <v>pcat1m</v>
          </cell>
          <cell r="D25">
            <v>46296.296296296292</v>
          </cell>
        </row>
        <row r="26">
          <cell r="A26" t="str">
            <v>Mài thô</v>
          </cell>
          <cell r="B26" t="str">
            <v>mai</v>
          </cell>
        </row>
        <row r="27">
          <cell r="A27" t="str">
            <v>Khoan lỗ</v>
          </cell>
          <cell r="B27" t="str">
            <v>khoanlo</v>
          </cell>
          <cell r="D27">
            <v>5000</v>
          </cell>
        </row>
        <row r="28">
          <cell r="A28" t="str">
            <v>Khoét lỗ</v>
          </cell>
          <cell r="B28" t="str">
            <v>khoet</v>
          </cell>
          <cell r="D28">
            <v>20000</v>
          </cell>
        </row>
        <row r="29">
          <cell r="A29" t="str">
            <v>Khoét lỗ kẹp VTK</v>
          </cell>
          <cell r="B29" t="str">
            <v>khoetvtk</v>
          </cell>
          <cell r="D29">
            <v>15000</v>
          </cell>
        </row>
        <row r="30">
          <cell r="A30" t="str">
            <v>Mài bóng</v>
          </cell>
          <cell r="B30" t="str">
            <v>maibong</v>
          </cell>
          <cell r="D30">
            <v>8000</v>
          </cell>
        </row>
        <row r="31">
          <cell r="A31" t="str">
            <v>Băng keo bảo vệ kính</v>
          </cell>
          <cell r="B31" t="str">
            <v>bk</v>
          </cell>
          <cell r="D31">
            <v>10000</v>
          </cell>
          <cell r="I31">
            <v>0.06</v>
          </cell>
        </row>
        <row r="32">
          <cell r="I32">
            <v>0.03</v>
          </cell>
        </row>
        <row r="33">
          <cell r="I33">
            <v>0.05</v>
          </cell>
        </row>
        <row r="34">
          <cell r="I34">
            <v>0.18</v>
          </cell>
        </row>
        <row r="35">
          <cell r="I35">
            <v>0.09</v>
          </cell>
        </row>
        <row r="36">
          <cell r="I36">
            <v>0.01</v>
          </cell>
        </row>
        <row r="37">
          <cell r="I37">
            <v>0.05</v>
          </cell>
        </row>
        <row r="38">
          <cell r="I38">
            <v>0</v>
          </cell>
        </row>
        <row r="39">
          <cell r="I39">
            <v>180000</v>
          </cell>
        </row>
        <row r="40">
          <cell r="I40">
            <v>180000</v>
          </cell>
        </row>
        <row r="41">
          <cell r="I41">
            <v>175000</v>
          </cell>
        </row>
        <row r="42">
          <cell r="I42">
            <v>175000</v>
          </cell>
        </row>
      </sheetData>
      <sheetData sheetId="16">
        <row r="3">
          <cell r="B3" t="str">
            <v>GD-CT/2022_05.01</v>
          </cell>
        </row>
      </sheetData>
      <sheetData sheetId="17"/>
      <sheetData sheetId="18">
        <row r="2">
          <cell r="B2" t="str">
            <v>Ký hiệu</v>
          </cell>
        </row>
        <row r="3">
          <cell r="K3" t="str">
            <v>Tổng</v>
          </cell>
        </row>
        <row r="4">
          <cell r="B4" t="str">
            <v>CSL-50.01</v>
          </cell>
          <cell r="K4">
            <v>100</v>
          </cell>
        </row>
        <row r="5">
          <cell r="B5" t="str">
            <v>CSL-50.02</v>
          </cell>
          <cell r="K5">
            <v>100</v>
          </cell>
        </row>
        <row r="6">
          <cell r="B6" t="str">
            <v>CSL-50.03</v>
          </cell>
          <cell r="K6">
            <v>100</v>
          </cell>
        </row>
        <row r="7">
          <cell r="B7" t="str">
            <v>CSL-50.04</v>
          </cell>
          <cell r="K7">
            <v>100</v>
          </cell>
        </row>
        <row r="8">
          <cell r="B8" t="str">
            <v>CDL-65.01</v>
          </cell>
          <cell r="K8">
            <v>100</v>
          </cell>
        </row>
        <row r="9">
          <cell r="B9" t="str">
            <v>CDL-65.02</v>
          </cell>
          <cell r="K9">
            <v>100</v>
          </cell>
        </row>
        <row r="10">
          <cell r="B10" t="str">
            <v>CDL-65.03</v>
          </cell>
          <cell r="K10">
            <v>100</v>
          </cell>
        </row>
        <row r="11">
          <cell r="B11" t="str">
            <v>CDL-65.04</v>
          </cell>
          <cell r="K11">
            <v>100</v>
          </cell>
        </row>
        <row r="12">
          <cell r="B12" t="str">
            <v>CSB-50.01</v>
          </cell>
          <cell r="K12">
            <v>100</v>
          </cell>
        </row>
        <row r="13">
          <cell r="B13" t="str">
            <v>CSB-50.02</v>
          </cell>
          <cell r="K13">
            <v>100</v>
          </cell>
        </row>
        <row r="14">
          <cell r="B14" t="str">
            <v>CSB-50.03</v>
          </cell>
          <cell r="K14">
            <v>100</v>
          </cell>
        </row>
        <row r="15">
          <cell r="B15" t="str">
            <v>CSB-50.04</v>
          </cell>
          <cell r="K15">
            <v>100</v>
          </cell>
        </row>
        <row r="16">
          <cell r="B16" t="str">
            <v>CSB-50.05</v>
          </cell>
          <cell r="K16">
            <v>100</v>
          </cell>
        </row>
        <row r="17">
          <cell r="B17" t="str">
            <v>CSB-50.06</v>
          </cell>
          <cell r="K17">
            <v>100</v>
          </cell>
        </row>
        <row r="18">
          <cell r="B18" t="str">
            <v>CSB-50.07</v>
          </cell>
          <cell r="K18">
            <v>100</v>
          </cell>
        </row>
        <row r="19">
          <cell r="B19" t="str">
            <v>CSB-50.08</v>
          </cell>
          <cell r="K19">
            <v>100</v>
          </cell>
        </row>
        <row r="20">
          <cell r="B20" t="str">
            <v>CSB-50.09</v>
          </cell>
          <cell r="K20">
            <v>100</v>
          </cell>
        </row>
        <row r="21">
          <cell r="B21" t="str">
            <v>CSB-50.10</v>
          </cell>
          <cell r="K21">
            <v>100</v>
          </cell>
        </row>
        <row r="22">
          <cell r="B22" t="str">
            <v>CDMQ-50.01</v>
          </cell>
          <cell r="K22">
            <v>100</v>
          </cell>
        </row>
        <row r="23">
          <cell r="B23" t="str">
            <v>CDMQ-50.02</v>
          </cell>
          <cell r="K23">
            <v>100</v>
          </cell>
        </row>
        <row r="24">
          <cell r="B24" t="str">
            <v>CDMQ-50.03</v>
          </cell>
          <cell r="K24">
            <v>100</v>
          </cell>
        </row>
        <row r="25">
          <cell r="B25" t="str">
            <v>CDMQ-50.04</v>
          </cell>
          <cell r="K25">
            <v>100</v>
          </cell>
        </row>
        <row r="26">
          <cell r="B26" t="str">
            <v>CDMQ-50.05</v>
          </cell>
          <cell r="K26">
            <v>100</v>
          </cell>
        </row>
        <row r="27">
          <cell r="B27" t="str">
            <v>CDMQ-50.06</v>
          </cell>
          <cell r="K27">
            <v>100</v>
          </cell>
        </row>
        <row r="28">
          <cell r="B28" t="str">
            <v>CDMQ-50.07</v>
          </cell>
          <cell r="K28">
            <v>100</v>
          </cell>
        </row>
        <row r="29">
          <cell r="B29" t="str">
            <v>CDMQ-50.08</v>
          </cell>
          <cell r="K29">
            <v>100</v>
          </cell>
        </row>
        <row r="30">
          <cell r="B30" t="str">
            <v>CDMQ-50.09</v>
          </cell>
          <cell r="K30">
            <v>100</v>
          </cell>
        </row>
        <row r="31">
          <cell r="B31" t="str">
            <v>CDMQ-50.10</v>
          </cell>
          <cell r="K31">
            <v>100</v>
          </cell>
        </row>
        <row r="32">
          <cell r="B32" t="str">
            <v>CDMQ-50.11</v>
          </cell>
          <cell r="K32">
            <v>100</v>
          </cell>
        </row>
        <row r="33">
          <cell r="B33" t="str">
            <v>CDMQ-50.12</v>
          </cell>
          <cell r="K33">
            <v>100</v>
          </cell>
        </row>
        <row r="34">
          <cell r="B34" t="str">
            <v>CDMQ-50.13</v>
          </cell>
          <cell r="K34">
            <v>100</v>
          </cell>
        </row>
        <row r="35">
          <cell r="B35" t="str">
            <v>CDMQ-50.14</v>
          </cell>
          <cell r="K35">
            <v>100</v>
          </cell>
        </row>
        <row r="36">
          <cell r="B36" t="str">
            <v>VKT.01</v>
          </cell>
          <cell r="K36">
            <v>100</v>
          </cell>
        </row>
        <row r="37">
          <cell r="B37" t="str">
            <v>VKT.02</v>
          </cell>
          <cell r="K37">
            <v>100</v>
          </cell>
        </row>
        <row r="38">
          <cell r="B38" t="str">
            <v>VKT.03</v>
          </cell>
          <cell r="K38">
            <v>100</v>
          </cell>
        </row>
        <row r="39">
          <cell r="B39" t="str">
            <v>VKT.04</v>
          </cell>
          <cell r="K39">
            <v>100</v>
          </cell>
        </row>
        <row r="40">
          <cell r="B40" t="str">
            <v>VKT.05</v>
          </cell>
          <cell r="K40">
            <v>100</v>
          </cell>
        </row>
        <row r="41">
          <cell r="B41" t="str">
            <v>VKT.06</v>
          </cell>
          <cell r="K41">
            <v>100</v>
          </cell>
        </row>
        <row r="42">
          <cell r="B42" t="str">
            <v>VKT.07</v>
          </cell>
          <cell r="K42">
            <v>100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3">
          <cell r="G3" t="str">
            <v>Cửa sổ lùa 2 cánh + ô kính cố định</v>
          </cell>
        </row>
        <row r="4">
          <cell r="F4">
            <v>3151000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1.2</v>
          </cell>
          <cell r="G6" t="str">
            <v>- Phụ kiện bánh xe đôi, khóa âm đồng bộ Draho</v>
          </cell>
        </row>
        <row r="7">
          <cell r="C7">
            <v>1.6</v>
          </cell>
          <cell r="F7">
            <v>100</v>
          </cell>
        </row>
      </sheetData>
      <sheetData sheetId="30">
        <row r="3">
          <cell r="G3" t="str">
            <v>Cửa đi lùa 2 cánh</v>
          </cell>
        </row>
        <row r="4">
          <cell r="F4">
            <v>3029000</v>
          </cell>
          <cell r="G4" t="str">
            <v>- Nhôm hệ Nova 65</v>
          </cell>
        </row>
        <row r="5">
          <cell r="G5" t="str">
            <v>- Kính trắng cường lực dày 10mm</v>
          </cell>
        </row>
        <row r="6">
          <cell r="C6">
            <v>1.8</v>
          </cell>
          <cell r="G6" t="str">
            <v>- Phụ kiện bánh xe đôi, tay nắm chữ D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31">
        <row r="3">
          <cell r="G3" t="str">
            <v>Cửa đi lùa 2 cánh + ô kính cố định</v>
          </cell>
        </row>
        <row r="4">
          <cell r="F4">
            <v>2964000</v>
          </cell>
          <cell r="G4" t="str">
            <v>- Nhôm hệ Nova 65</v>
          </cell>
        </row>
        <row r="5">
          <cell r="G5" t="str">
            <v>- Kính trắng cường lực dày 10mm</v>
          </cell>
        </row>
        <row r="6">
          <cell r="C6">
            <v>1.8</v>
          </cell>
          <cell r="G6" t="str">
            <v>- Phụ kiện bánh xe đôi, tay nắm chữ D đồng bộ Draho</v>
          </cell>
        </row>
        <row r="7">
          <cell r="C7">
            <v>2.7</v>
          </cell>
          <cell r="F7">
            <v>100</v>
          </cell>
        </row>
      </sheetData>
      <sheetData sheetId="32">
        <row r="3">
          <cell r="G3" t="str">
            <v>Cửa đi lùa 4 cánh (2 ray)</v>
          </cell>
        </row>
        <row r="4">
          <cell r="F4">
            <v>2904000</v>
          </cell>
          <cell r="G4" t="str">
            <v>- Nhôm hệ Nova 65</v>
          </cell>
        </row>
        <row r="5">
          <cell r="G5" t="str">
            <v>- Kính trắng cường lực dày 10mm</v>
          </cell>
        </row>
        <row r="6">
          <cell r="C6">
            <v>3.6</v>
          </cell>
          <cell r="G6" t="str">
            <v>- Phụ kiện bánh xe đôi, tay nắm chữ D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33">
        <row r="3">
          <cell r="G3" t="str">
            <v>Cửa đi lùa 3 cánh (3 ray)</v>
          </cell>
        </row>
        <row r="4">
          <cell r="F4">
            <v>3140000</v>
          </cell>
          <cell r="G4" t="str">
            <v>- Nhôm hệ Nova 65</v>
          </cell>
        </row>
        <row r="5">
          <cell r="G5" t="str">
            <v>- Kính trắng cường lực dày 10mm</v>
          </cell>
        </row>
        <row r="6">
          <cell r="C6">
            <v>2.7</v>
          </cell>
          <cell r="G6" t="str">
            <v>- Phụ kiện bánh xe đôi, tay nắm chữ D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34">
        <row r="3">
          <cell r="G3" t="str">
            <v>Cửa sổ bật 1 cánh</v>
          </cell>
        </row>
        <row r="4">
          <cell r="F4">
            <v>3837000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0.8</v>
          </cell>
          <cell r="G6" t="str">
            <v>- Phụ kiện tay nắm, bản lề chữ A đồng bộ Draho</v>
          </cell>
        </row>
        <row r="7">
          <cell r="C7">
            <v>0.8</v>
          </cell>
          <cell r="F7">
            <v>100</v>
          </cell>
        </row>
      </sheetData>
      <sheetData sheetId="35">
        <row r="3">
          <cell r="G3" t="str">
            <v>Cửa sổ bật 1 cánh + ô kính cố định</v>
          </cell>
        </row>
        <row r="4">
          <cell r="F4">
            <v>3790000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0.8</v>
          </cell>
          <cell r="G6" t="str">
            <v>- Phụ kiện tay nắm, bản lề chữ A đồng bộ Draho</v>
          </cell>
        </row>
        <row r="7">
          <cell r="C7">
            <v>1.2</v>
          </cell>
          <cell r="F7">
            <v>100</v>
          </cell>
        </row>
      </sheetData>
      <sheetData sheetId="36">
        <row r="3">
          <cell r="G3" t="str">
            <v>Cửa sổ bật 1 cánh + ô kính cố định</v>
          </cell>
        </row>
        <row r="4">
          <cell r="F4">
            <v>3790000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1.2</v>
          </cell>
          <cell r="G6" t="str">
            <v>- Phụ kiện tay nắm, bản lề chữ A đồng bộ Draho</v>
          </cell>
        </row>
        <row r="7">
          <cell r="C7">
            <v>0.8</v>
          </cell>
          <cell r="F7">
            <v>100</v>
          </cell>
        </row>
      </sheetData>
      <sheetData sheetId="37">
        <row r="3">
          <cell r="G3" t="str">
            <v>Cửa sổ bật 1 cánh + ô kính cố định</v>
          </cell>
        </row>
        <row r="4">
          <cell r="F4">
            <v>3309000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0.8</v>
          </cell>
          <cell r="G6" t="str">
            <v>- Phụ kiện tay nắm, bản lề chữ A đồng bộ Draho</v>
          </cell>
        </row>
        <row r="7">
          <cell r="C7">
            <v>1.8</v>
          </cell>
          <cell r="F7">
            <v>100</v>
          </cell>
        </row>
      </sheetData>
      <sheetData sheetId="38">
        <row r="3">
          <cell r="G3" t="str">
            <v>Cửa sổ bật 1 cánh + ô kính cố định</v>
          </cell>
        </row>
        <row r="4">
          <cell r="F4">
            <v>3352000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1.2</v>
          </cell>
          <cell r="G6" t="str">
            <v>- Phụ kiện tay nắm, bản lề chữ A đồng bộ Draho</v>
          </cell>
        </row>
        <row r="7">
          <cell r="C7">
            <v>1.2</v>
          </cell>
          <cell r="F7">
            <v>100</v>
          </cell>
        </row>
      </sheetData>
      <sheetData sheetId="39">
        <row r="3">
          <cell r="G3" t="str">
            <v>Cửa sổ bật 1 cánh + ô kính cố định</v>
          </cell>
        </row>
        <row r="4">
          <cell r="F4">
            <v>3146000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1.6</v>
          </cell>
          <cell r="G6" t="str">
            <v>- Phụ kiện tay nắm, bản lề chữ A đồng bộ Draho</v>
          </cell>
        </row>
        <row r="7">
          <cell r="C7">
            <v>1.2</v>
          </cell>
          <cell r="F7">
            <v>100</v>
          </cell>
        </row>
      </sheetData>
      <sheetData sheetId="40">
        <row r="3">
          <cell r="G3" t="str">
            <v>Cửa sổ bật 2 cánh + ô kính cố định</v>
          </cell>
        </row>
        <row r="4">
          <cell r="F4">
            <v>3197000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2</v>
          </cell>
          <cell r="G6" t="str">
            <v>- Phụ kiện tay nắm, bản lề chữ A đồng bộ Draho</v>
          </cell>
        </row>
        <row r="7">
          <cell r="C7">
            <v>1.6</v>
          </cell>
          <cell r="F7">
            <v>100</v>
          </cell>
        </row>
      </sheetData>
      <sheetData sheetId="41">
        <row r="3">
          <cell r="G3" t="str">
            <v>Cửa sổ bật 2 cánh</v>
          </cell>
        </row>
        <row r="4">
          <cell r="F4">
            <v>4176000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1.6</v>
          </cell>
          <cell r="G6" t="str">
            <v>- Phụ kiện tay nắm, bản lề chữ A đồng bộ Draho</v>
          </cell>
        </row>
        <row r="7">
          <cell r="C7">
            <v>0.8</v>
          </cell>
          <cell r="F7">
            <v>100</v>
          </cell>
        </row>
      </sheetData>
      <sheetData sheetId="42">
        <row r="3">
          <cell r="G3" t="str">
            <v>Cửa sổ bật 2 cánh</v>
          </cell>
        </row>
        <row r="4">
          <cell r="F4">
            <v>3586000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1.6</v>
          </cell>
          <cell r="G6" t="str">
            <v>- Phụ kiện tay nắm, bản lề chữ A đồng bộ Draho</v>
          </cell>
        </row>
        <row r="7">
          <cell r="C7">
            <v>1.2</v>
          </cell>
          <cell r="F7">
            <v>100</v>
          </cell>
        </row>
      </sheetData>
      <sheetData sheetId="43">
        <row r="3">
          <cell r="G3" t="str">
            <v>Cửa sổ bật 2 cánh</v>
          </cell>
        </row>
        <row r="4">
          <cell r="F4">
            <v>3231000</v>
          </cell>
          <cell r="G4" t="str">
            <v>- Nhôm hệ Nova 50</v>
          </cell>
        </row>
        <row r="5">
          <cell r="G5" t="str">
            <v>- Kính trắng cường lực dày 8mm</v>
          </cell>
        </row>
        <row r="6">
          <cell r="C6">
            <v>1.6</v>
          </cell>
          <cell r="G6" t="str">
            <v>- Phụ kiện tay nắm, bản lề chữ A đồng bộ Draho</v>
          </cell>
        </row>
        <row r="7">
          <cell r="C7">
            <v>1.6</v>
          </cell>
          <cell r="F7">
            <v>100</v>
          </cell>
        </row>
      </sheetData>
      <sheetData sheetId="44">
        <row r="3">
          <cell r="G3" t="str">
            <v>Cửa đi mở quay 1 cánh</v>
          </cell>
        </row>
        <row r="4">
          <cell r="F4">
            <v>3619000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0.9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45">
        <row r="3">
          <cell r="G3" t="str">
            <v>Cửa đi mở quay 1 cánh</v>
          </cell>
        </row>
        <row r="4">
          <cell r="F4">
            <v>3722000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0.9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46">
        <row r="3">
          <cell r="G3" t="str">
            <v>Cửa đi mở quay 1 cánh + ô kính cố định</v>
          </cell>
        </row>
        <row r="4">
          <cell r="F4">
            <v>3470000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0.9</v>
          </cell>
          <cell r="G6" t="str">
            <v>- Phụ kiện bản lề 3D, thân khóa đa điểm đồng bộ Draho</v>
          </cell>
        </row>
        <row r="7">
          <cell r="C7">
            <v>2.7</v>
          </cell>
          <cell r="F7">
            <v>100</v>
          </cell>
        </row>
      </sheetData>
      <sheetData sheetId="47">
        <row r="3">
          <cell r="G3" t="str">
            <v>Cửa đi mở quay 1 cánh + ô kính cố định</v>
          </cell>
        </row>
        <row r="4">
          <cell r="F4">
            <v>3554000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0.9</v>
          </cell>
          <cell r="G6" t="str">
            <v>- Phụ kiện bản lề 3D, thân khóa đa điểm đồng bộ Draho</v>
          </cell>
        </row>
        <row r="7">
          <cell r="C7">
            <v>2.7</v>
          </cell>
          <cell r="F7">
            <v>100</v>
          </cell>
        </row>
      </sheetData>
      <sheetData sheetId="48">
        <row r="3">
          <cell r="G3" t="str">
            <v>Cửa đi mở quay 1 cánh + ô kính cố định</v>
          </cell>
        </row>
        <row r="4">
          <cell r="F4">
            <v>3139000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1.5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49">
        <row r="3">
          <cell r="G3" t="str">
            <v>Cửa đi mở quay 1 cánh + ô kính cố định</v>
          </cell>
        </row>
        <row r="4">
          <cell r="F4">
            <v>3202000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1.5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50">
        <row r="3">
          <cell r="G3" t="str">
            <v>Cửa đi mở quay 2 cánh</v>
          </cell>
        </row>
        <row r="4">
          <cell r="F4">
            <v>3472000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51">
        <row r="3">
          <cell r="G3" t="str">
            <v>Cửa đi mở quay 2 cánh</v>
          </cell>
        </row>
        <row r="4">
          <cell r="F4">
            <v>3582000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52">
        <row r="3">
          <cell r="G3" t="str">
            <v>Cửa đi mở quay 2 cánh + ô kính cố định</v>
          </cell>
        </row>
        <row r="4">
          <cell r="F4">
            <v>3312000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bản lề 3D, thân khóa đa điểm đồng bộ Draho</v>
          </cell>
        </row>
        <row r="7">
          <cell r="C7">
            <v>2.7</v>
          </cell>
          <cell r="F7">
            <v>100</v>
          </cell>
        </row>
      </sheetData>
      <sheetData sheetId="53">
        <row r="3">
          <cell r="G3" t="str">
            <v>Cửa đi mở quay 2 cánh + ô kính cố định</v>
          </cell>
        </row>
        <row r="4">
          <cell r="F4">
            <v>3402000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bản lề 3D, thân khóa đa điểm đồng bộ Draho</v>
          </cell>
        </row>
        <row r="7">
          <cell r="C7">
            <v>2.7</v>
          </cell>
          <cell r="F7">
            <v>100</v>
          </cell>
        </row>
      </sheetData>
      <sheetData sheetId="54">
        <row r="3">
          <cell r="G3" t="str">
            <v>Cửa đi mở quay 2 cánh + ô kính cố định</v>
          </cell>
        </row>
        <row r="4">
          <cell r="F4">
            <v>3111000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2.6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55">
        <row r="3">
          <cell r="G3" t="str">
            <v>Cửa đi mở quay 2 cánh + ô kính cố định</v>
          </cell>
        </row>
        <row r="4">
          <cell r="F4">
            <v>3215000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2.6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56">
        <row r="3">
          <cell r="G3" t="str">
            <v>Cửa đi mở quay 2 cánh + ô kính cố định</v>
          </cell>
        </row>
        <row r="4">
          <cell r="F4">
            <v>3070000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2.6</v>
          </cell>
          <cell r="G6" t="str">
            <v>- Phụ kiện bản lề 3D, thân khóa đa điểm đồng bộ Draho</v>
          </cell>
        </row>
        <row r="7">
          <cell r="C7">
            <v>2.7</v>
          </cell>
          <cell r="F7">
            <v>100</v>
          </cell>
        </row>
      </sheetData>
      <sheetData sheetId="57">
        <row r="3">
          <cell r="G3" t="str">
            <v>Cửa đi mở quay 4 cánh</v>
          </cell>
        </row>
        <row r="4">
          <cell r="F4">
            <v>3835000</v>
          </cell>
          <cell r="G4" t="str">
            <v>- Nhôm hệ Nova 50</v>
          </cell>
        </row>
        <row r="5">
          <cell r="G5" t="str">
            <v>- Kính trắng cường lực dày 10mm</v>
          </cell>
        </row>
        <row r="6">
          <cell r="C6">
            <v>2.4</v>
          </cell>
          <cell r="G6" t="str">
            <v>- Phụ kiện bản lề 3D, thân khóa đa điểm đồng bộ Draho</v>
          </cell>
        </row>
        <row r="7">
          <cell r="C7">
            <v>2.2000000000000002</v>
          </cell>
          <cell r="F7">
            <v>100</v>
          </cell>
        </row>
      </sheetData>
      <sheetData sheetId="58">
        <row r="3">
          <cell r="G3" t="str">
            <v>Vách kính phòng tắm (bản lề tường - kính 90 độ)</v>
          </cell>
        </row>
        <row r="4">
          <cell r="F4">
            <v>3365000</v>
          </cell>
        </row>
        <row r="5">
          <cell r="G5" t="str">
            <v>- Kính trắng cường lực dày 10mm</v>
          </cell>
        </row>
        <row r="6">
          <cell r="C6">
            <v>1.1000000000000001</v>
          </cell>
          <cell r="G6" t="str">
            <v>- Phụ kiện inox đồng bộ Hafele (Bóng)</v>
          </cell>
        </row>
        <row r="7">
          <cell r="C7">
            <v>2.2000000000000002</v>
          </cell>
          <cell r="F7">
            <v>100</v>
          </cell>
        </row>
      </sheetData>
      <sheetData sheetId="59">
        <row r="3">
          <cell r="G3" t="str">
            <v>Vách kính phòng tắm (bản lề tường - kính 90 độ)</v>
          </cell>
        </row>
        <row r="4">
          <cell r="F4">
            <v>3628000</v>
          </cell>
        </row>
        <row r="5">
          <cell r="G5" t="str">
            <v>- Kính trắng cường lực dày 10mm</v>
          </cell>
        </row>
        <row r="6">
          <cell r="C6">
            <v>1.5</v>
          </cell>
          <cell r="G6" t="str">
            <v>- Phụ kiện inox đồng bộ Hafele (Bóng)</v>
          </cell>
        </row>
        <row r="7">
          <cell r="C7">
            <v>2.2000000000000002</v>
          </cell>
          <cell r="F7">
            <v>100</v>
          </cell>
        </row>
      </sheetData>
      <sheetData sheetId="60">
        <row r="3">
          <cell r="G3" t="str">
            <v>Vách kính phòng tắm (bản lề kính - kính 90 độ)</v>
          </cell>
        </row>
        <row r="4">
          <cell r="F4">
            <v>3617000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inox đồng bộ Hafele (Bóng)</v>
          </cell>
        </row>
        <row r="7">
          <cell r="C7">
            <v>2.2000000000000002</v>
          </cell>
          <cell r="F7">
            <v>100</v>
          </cell>
        </row>
      </sheetData>
      <sheetData sheetId="61">
        <row r="3">
          <cell r="G3" t="str">
            <v>Vách kính phòng tắm (bản lề kính - kính 180 độ)</v>
          </cell>
        </row>
        <row r="4">
          <cell r="F4">
            <v>3497000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inox đồng bộ Hafele (Bóng)</v>
          </cell>
        </row>
        <row r="7">
          <cell r="C7">
            <v>2.2000000000000002</v>
          </cell>
          <cell r="F7">
            <v>100</v>
          </cell>
        </row>
      </sheetData>
      <sheetData sheetId="62">
        <row r="3">
          <cell r="G3" t="str">
            <v>Vách kính phòng tắm (bản lề kính - kính 180 độ)</v>
          </cell>
        </row>
        <row r="4">
          <cell r="F4">
            <v>3613000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inox đồng bộ Hafele (Bóng)</v>
          </cell>
        </row>
        <row r="7">
          <cell r="C7">
            <v>2.2000000000000002</v>
          </cell>
          <cell r="F7">
            <v>100</v>
          </cell>
        </row>
      </sheetData>
      <sheetData sheetId="63">
        <row r="3">
          <cell r="G3" t="str">
            <v>Vách kính phòng tắm (bản lề kính - kính 135 độ)</v>
          </cell>
        </row>
        <row r="4">
          <cell r="F4">
            <v>3733000</v>
          </cell>
        </row>
        <row r="5">
          <cell r="G5" t="str">
            <v>- Kính trắng cường lực dày 10mm</v>
          </cell>
        </row>
        <row r="6">
          <cell r="C6">
            <v>1.6</v>
          </cell>
          <cell r="G6" t="str">
            <v>- Phụ kiện inox đồng bộ Hafele (Bóng)</v>
          </cell>
        </row>
        <row r="7">
          <cell r="C7">
            <v>2.2000000000000002</v>
          </cell>
          <cell r="F7">
            <v>100</v>
          </cell>
        </row>
      </sheetData>
      <sheetData sheetId="64">
        <row r="3">
          <cell r="G3" t="str">
            <v>Vách kính phòng tắm (bản lề kính - kính 135 độ)</v>
          </cell>
        </row>
        <row r="4">
          <cell r="F4">
            <v>3876000</v>
          </cell>
        </row>
        <row r="5">
          <cell r="G5" t="str">
            <v>- Kính trắng cường lực dày 10mm</v>
          </cell>
        </row>
        <row r="6">
          <cell r="C6">
            <v>1.2</v>
          </cell>
          <cell r="G6" t="str">
            <v>- Phụ kiện inox đồng bộ Hafele (Bóng)</v>
          </cell>
        </row>
        <row r="7">
          <cell r="C7">
            <v>2.2000000000000002</v>
          </cell>
          <cell r="F7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D54B-C518-4B1F-A5EC-E0635F81955A}">
  <sheetPr codeName="Sheet65">
    <tabColor rgb="FFFFC000"/>
    <outlinePr summaryBelow="0" summaryRight="0"/>
    <pageSetUpPr fitToPage="1"/>
  </sheetPr>
  <dimension ref="A1:H140"/>
  <sheetViews>
    <sheetView showGridLines="0" tabSelected="1" view="pageBreakPreview" zoomScale="85" zoomScaleNormal="85" zoomScaleSheetLayoutView="85" workbookViewId="0">
      <pane ySplit="4" topLeftCell="A5" activePane="bottomLeft" state="frozen"/>
      <selection activeCell="F131" sqref="F131"/>
      <selection pane="bottomLeft" activeCell="O9" sqref="O9"/>
    </sheetView>
  </sheetViews>
  <sheetFormatPr defaultColWidth="9.33203125" defaultRowHeight="15.6" outlineLevelRow="1" x14ac:dyDescent="0.3"/>
  <cols>
    <col min="1" max="1" width="5.5546875" style="153" customWidth="1"/>
    <col min="2" max="2" width="26.33203125" style="154" customWidth="1"/>
    <col min="3" max="3" width="32.109375" style="154" bestFit="1" customWidth="1" collapsed="1"/>
    <col min="4" max="4" width="6.6640625" style="5" customWidth="1"/>
    <col min="5" max="5" width="15.5546875" style="157" customWidth="1"/>
    <col min="6" max="6" width="17.109375" style="153" customWidth="1"/>
    <col min="7" max="7" width="19.5546875" style="157" customWidth="1"/>
    <col min="8" max="8" width="21.44140625" style="159" customWidth="1"/>
    <col min="9" max="16384" width="9.33203125" style="5"/>
  </cols>
  <sheetData>
    <row r="1" spans="1:8" s="2" customFormat="1" ht="36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20.25" customHeight="1" x14ac:dyDescent="0.3">
      <c r="A2" s="3" t="str">
        <f>DETAIL!A2</f>
        <v>Dự án: GOLDEN CITY</v>
      </c>
      <c r="B2" s="4"/>
      <c r="C2" s="4"/>
      <c r="D2" s="4"/>
      <c r="E2" s="4"/>
      <c r="F2" s="4"/>
      <c r="G2" s="4"/>
      <c r="H2" s="4"/>
    </row>
    <row r="3" spans="1:8" s="7" customFormat="1" ht="20.25" customHeight="1" x14ac:dyDescent="0.3">
      <c r="A3" s="6" t="str">
        <f>DETAIL!A3</f>
        <v>Hạng mục: NHÔM KÍNH</v>
      </c>
      <c r="B3" s="6"/>
      <c r="C3" s="6"/>
      <c r="D3" s="6"/>
      <c r="E3" s="6"/>
      <c r="F3" s="6"/>
      <c r="G3" s="6"/>
      <c r="H3" s="6"/>
    </row>
    <row r="4" spans="1:8" s="12" customFormat="1" ht="48" customHeight="1" x14ac:dyDescent="0.3">
      <c r="A4" s="8" t="s">
        <v>1</v>
      </c>
      <c r="B4" s="8" t="s">
        <v>2</v>
      </c>
      <c r="C4" s="9" t="s">
        <v>3</v>
      </c>
      <c r="D4" s="9" t="s">
        <v>4</v>
      </c>
      <c r="E4" s="10" t="s">
        <v>5</v>
      </c>
      <c r="F4" s="10" t="s">
        <v>6</v>
      </c>
      <c r="G4" s="10" t="s">
        <v>7</v>
      </c>
      <c r="H4" s="11" t="s">
        <v>8</v>
      </c>
    </row>
    <row r="5" spans="1:8" s="12" customFormat="1" collapsed="1" x14ac:dyDescent="0.3">
      <c r="A5" s="13" t="s">
        <v>9</v>
      </c>
      <c r="B5" s="14" t="s">
        <v>10</v>
      </c>
      <c r="C5" s="14"/>
      <c r="D5" s="15"/>
      <c r="E5" s="16"/>
      <c r="F5" s="17"/>
      <c r="G5" s="17">
        <f>DETAIL!J52</f>
        <v>40774762000</v>
      </c>
      <c r="H5" s="18"/>
    </row>
    <row r="6" spans="1:8" s="24" customFormat="1" hidden="1" outlineLevel="1" x14ac:dyDescent="0.3">
      <c r="A6" s="19"/>
      <c r="B6" s="20"/>
      <c r="C6" s="20"/>
      <c r="D6" s="19"/>
      <c r="E6" s="21"/>
      <c r="F6" s="22"/>
      <c r="G6" s="22"/>
      <c r="H6" s="23"/>
    </row>
    <row r="7" spans="1:8" s="24" customFormat="1" hidden="1" outlineLevel="1" x14ac:dyDescent="0.3">
      <c r="A7" s="25"/>
      <c r="B7" s="26"/>
      <c r="C7" s="26"/>
      <c r="D7" s="25"/>
      <c r="E7" s="27"/>
      <c r="F7" s="28"/>
      <c r="G7" s="28"/>
      <c r="H7" s="29"/>
    </row>
    <row r="8" spans="1:8" s="24" customFormat="1" x14ac:dyDescent="0.3">
      <c r="A8" s="30"/>
      <c r="B8" s="31"/>
      <c r="C8" s="31"/>
      <c r="D8" s="30"/>
      <c r="E8" s="32"/>
      <c r="F8" s="33"/>
      <c r="G8" s="33"/>
      <c r="H8" s="34"/>
    </row>
    <row r="9" spans="1:8" s="12" customFormat="1" x14ac:dyDescent="0.3">
      <c r="A9" s="13" t="s">
        <v>11</v>
      </c>
      <c r="B9" s="14" t="s">
        <v>12</v>
      </c>
      <c r="C9" s="14"/>
      <c r="D9" s="13"/>
      <c r="E9" s="16">
        <f>SUBTOTAL(9,E10:E117)</f>
        <v>588843.82893566939</v>
      </c>
      <c r="F9" s="17"/>
      <c r="G9" s="17">
        <f>SUBTOTAL(9,G10:G127)</f>
        <v>31011631792.606369</v>
      </c>
      <c r="H9" s="18"/>
    </row>
    <row r="10" spans="1:8" collapsed="1" x14ac:dyDescent="0.3">
      <c r="A10" s="35" t="s">
        <v>13</v>
      </c>
      <c r="B10" s="36" t="s">
        <v>14</v>
      </c>
      <c r="C10" s="36"/>
      <c r="D10" s="37"/>
      <c r="E10" s="38">
        <f>SUBTOTAL(9,E11:E13)</f>
        <v>9912</v>
      </c>
      <c r="F10" s="39">
        <f>IFERROR(G10/E10,0)</f>
        <v>178910.41162227603</v>
      </c>
      <c r="G10" s="40">
        <f>SUBTOTAL(9,G11:G13)</f>
        <v>1773360000</v>
      </c>
      <c r="H10" s="41"/>
    </row>
    <row r="11" spans="1:8" s="24" customFormat="1" hidden="1" outlineLevel="1" x14ac:dyDescent="0.3">
      <c r="A11" s="42"/>
      <c r="B11" s="43" t="s">
        <v>15</v>
      </c>
      <c r="C11" s="43"/>
      <c r="D11" s="44" t="s">
        <v>16</v>
      </c>
      <c r="E11" s="45">
        <v>2268.0000000000005</v>
      </c>
      <c r="F11" s="46">
        <f t="shared" ref="F11:F13" si="0">IF(ISERR(G11/E11)=TRUE,"",G11/E11)</f>
        <v>179999.99999999997</v>
      </c>
      <c r="G11" s="47">
        <v>408240000</v>
      </c>
      <c r="H11" s="48"/>
    </row>
    <row r="12" spans="1:8" s="24" customFormat="1" hidden="1" outlineLevel="1" x14ac:dyDescent="0.3">
      <c r="A12" s="42"/>
      <c r="B12" s="49" t="s">
        <v>17</v>
      </c>
      <c r="C12" s="50"/>
      <c r="D12" s="44" t="s">
        <v>16</v>
      </c>
      <c r="E12" s="45">
        <v>7116</v>
      </c>
      <c r="F12" s="46">
        <f t="shared" si="0"/>
        <v>178853.28836424957</v>
      </c>
      <c r="G12" s="47">
        <v>1272720000</v>
      </c>
      <c r="H12" s="48"/>
    </row>
    <row r="13" spans="1:8" s="24" customFormat="1" hidden="1" outlineLevel="1" x14ac:dyDescent="0.3">
      <c r="A13" s="42"/>
      <c r="B13" s="49" t="s">
        <v>18</v>
      </c>
      <c r="C13" s="50"/>
      <c r="D13" s="44" t="s">
        <v>16</v>
      </c>
      <c r="E13" s="45">
        <v>528</v>
      </c>
      <c r="F13" s="46">
        <f t="shared" si="0"/>
        <v>175000</v>
      </c>
      <c r="G13" s="47">
        <v>92400000</v>
      </c>
      <c r="H13" s="48"/>
    </row>
    <row r="14" spans="1:8" s="7" customFormat="1" collapsed="1" x14ac:dyDescent="0.3">
      <c r="A14" s="35" t="s">
        <v>19</v>
      </c>
      <c r="B14" s="36" t="s">
        <v>20</v>
      </c>
      <c r="C14" s="36"/>
      <c r="D14" s="51"/>
      <c r="E14" s="38">
        <f>SUBTOTAL(9,E15:E18)</f>
        <v>12156</v>
      </c>
      <c r="F14" s="39">
        <f>IFERROR(G14/E14,0)</f>
        <v>270000</v>
      </c>
      <c r="G14" s="40">
        <f>SUBTOTAL(9,G15:G18)</f>
        <v>3282120000</v>
      </c>
      <c r="H14" s="41"/>
    </row>
    <row r="15" spans="1:8" s="12" customFormat="1" ht="15.75" hidden="1" customHeight="1" outlineLevel="1" x14ac:dyDescent="0.3">
      <c r="A15" s="52"/>
      <c r="B15" s="49" t="s">
        <v>21</v>
      </c>
      <c r="C15" s="50"/>
      <c r="D15" s="53" t="s">
        <v>16</v>
      </c>
      <c r="E15" s="54">
        <v>2268.0000000000005</v>
      </c>
      <c r="F15" s="46">
        <f t="shared" ref="F15:F18" si="1">IF(ISERR(G15/E15)=TRUE,"",G15/E15)</f>
        <v>269999.99999999994</v>
      </c>
      <c r="G15" s="55">
        <v>612360000</v>
      </c>
      <c r="H15" s="56"/>
    </row>
    <row r="16" spans="1:8" s="12" customFormat="1" ht="15.75" hidden="1" customHeight="1" outlineLevel="1" x14ac:dyDescent="0.3">
      <c r="A16" s="52"/>
      <c r="B16" s="49" t="s">
        <v>22</v>
      </c>
      <c r="C16" s="50"/>
      <c r="D16" s="57" t="s">
        <v>16</v>
      </c>
      <c r="E16" s="54">
        <v>7116</v>
      </c>
      <c r="F16" s="46">
        <f t="shared" si="1"/>
        <v>270000</v>
      </c>
      <c r="G16" s="55">
        <v>1921320000</v>
      </c>
      <c r="H16" s="56"/>
    </row>
    <row r="17" spans="1:8" s="12" customFormat="1" ht="15.75" hidden="1" customHeight="1" outlineLevel="1" x14ac:dyDescent="0.3">
      <c r="A17" s="52"/>
      <c r="B17" s="49" t="s">
        <v>23</v>
      </c>
      <c r="C17" s="50"/>
      <c r="D17" s="57" t="s">
        <v>16</v>
      </c>
      <c r="E17" s="54">
        <v>528</v>
      </c>
      <c r="F17" s="46">
        <f t="shared" si="1"/>
        <v>270000</v>
      </c>
      <c r="G17" s="55">
        <v>142560000</v>
      </c>
      <c r="H17" s="56"/>
    </row>
    <row r="18" spans="1:8" s="12" customFormat="1" ht="15.75" hidden="1" customHeight="1" outlineLevel="1" x14ac:dyDescent="0.3">
      <c r="A18" s="52"/>
      <c r="B18" s="49" t="s">
        <v>24</v>
      </c>
      <c r="C18" s="50"/>
      <c r="D18" s="57" t="s">
        <v>16</v>
      </c>
      <c r="E18" s="54">
        <v>2244</v>
      </c>
      <c r="F18" s="46">
        <f t="shared" si="1"/>
        <v>270000</v>
      </c>
      <c r="G18" s="55">
        <v>605880000</v>
      </c>
      <c r="H18" s="56"/>
    </row>
    <row r="19" spans="1:8" collapsed="1" x14ac:dyDescent="0.3">
      <c r="A19" s="35" t="s">
        <v>25</v>
      </c>
      <c r="B19" s="36" t="s">
        <v>26</v>
      </c>
      <c r="C19" s="58"/>
      <c r="D19" s="51"/>
      <c r="E19" s="38">
        <f>SUBTOTAL(9,E20:E23)</f>
        <v>12156</v>
      </c>
      <c r="F19" s="39">
        <f>IFERROR(G19/E19,0)</f>
        <v>30000</v>
      </c>
      <c r="G19" s="40">
        <f>SUBTOTAL(9,G20:G23)</f>
        <v>364680000</v>
      </c>
      <c r="H19" s="41"/>
    </row>
    <row r="20" spans="1:8" hidden="1" outlineLevel="1" x14ac:dyDescent="0.3">
      <c r="A20" s="59"/>
      <c r="B20" s="49" t="s">
        <v>27</v>
      </c>
      <c r="C20" s="50"/>
      <c r="D20" s="60" t="s">
        <v>16</v>
      </c>
      <c r="E20" s="61">
        <v>2268.0000000000005</v>
      </c>
      <c r="F20" s="46">
        <f t="shared" ref="F20:F23" si="2">IF(ISERR(G20/E20)=TRUE,"",G20/E20)</f>
        <v>29999.999999999993</v>
      </c>
      <c r="G20" s="62">
        <v>68040000</v>
      </c>
      <c r="H20" s="63"/>
    </row>
    <row r="21" spans="1:8" hidden="1" outlineLevel="1" x14ac:dyDescent="0.3">
      <c r="A21" s="64"/>
      <c r="B21" s="49" t="s">
        <v>28</v>
      </c>
      <c r="C21" s="50"/>
      <c r="D21" s="57" t="s">
        <v>16</v>
      </c>
      <c r="E21" s="65">
        <v>7116</v>
      </c>
      <c r="F21" s="46">
        <f t="shared" si="2"/>
        <v>30000</v>
      </c>
      <c r="G21" s="66">
        <v>213480000</v>
      </c>
      <c r="H21" s="67"/>
    </row>
    <row r="22" spans="1:8" hidden="1" outlineLevel="1" x14ac:dyDescent="0.3">
      <c r="A22" s="64"/>
      <c r="B22" s="49" t="s">
        <v>29</v>
      </c>
      <c r="C22" s="50"/>
      <c r="D22" s="57" t="s">
        <v>16</v>
      </c>
      <c r="E22" s="65">
        <v>528</v>
      </c>
      <c r="F22" s="46">
        <f t="shared" si="2"/>
        <v>30000</v>
      </c>
      <c r="G22" s="66">
        <v>15840000</v>
      </c>
      <c r="H22" s="67"/>
    </row>
    <row r="23" spans="1:8" hidden="1" outlineLevel="1" x14ac:dyDescent="0.3">
      <c r="A23" s="64"/>
      <c r="B23" s="49" t="s">
        <v>30</v>
      </c>
      <c r="C23" s="50"/>
      <c r="D23" s="57" t="s">
        <v>16</v>
      </c>
      <c r="E23" s="65">
        <v>2244</v>
      </c>
      <c r="F23" s="46">
        <f t="shared" si="2"/>
        <v>30000</v>
      </c>
      <c r="G23" s="66">
        <v>67320000</v>
      </c>
      <c r="H23" s="67"/>
    </row>
    <row r="24" spans="1:8" s="12" customFormat="1" collapsed="1" x14ac:dyDescent="0.3">
      <c r="A24" s="35" t="s">
        <v>31</v>
      </c>
      <c r="B24" s="36" t="s">
        <v>32</v>
      </c>
      <c r="C24" s="36"/>
      <c r="D24" s="37"/>
      <c r="E24" s="38">
        <f>SUBTOTAL(9,E25:E57)</f>
        <v>75048.790808335994</v>
      </c>
      <c r="F24" s="39">
        <f>IFERROR(G24/E24,0)</f>
        <v>114721.7269932084</v>
      </c>
      <c r="G24" s="40">
        <f>SUBTOTAL(9,G25:G57)</f>
        <v>8609726890.2843304</v>
      </c>
      <c r="H24" s="41"/>
    </row>
    <row r="25" spans="1:8" s="12" customFormat="1" hidden="1" outlineLevel="1" x14ac:dyDescent="0.3">
      <c r="A25" s="52"/>
      <c r="B25" s="68" t="s">
        <v>33</v>
      </c>
      <c r="C25" s="68" t="str">
        <f t="shared" ref="C25:C57" si="3">IFERROR(INDEX(TENPROFILE,MATCH(B25,MAPROFILE,0)),"")</f>
        <v>Ke góc</v>
      </c>
      <c r="D25" s="53" t="s">
        <v>34</v>
      </c>
      <c r="E25" s="54">
        <v>992.15363788000013</v>
      </c>
      <c r="F25" s="46">
        <f t="shared" ref="F25:F57" si="4">IF(ISERR(G25/E25)=TRUE,"",G25/E25)</f>
        <v>97999.999999999956</v>
      </c>
      <c r="G25" s="55">
        <v>97231056.512239963</v>
      </c>
      <c r="H25" s="56"/>
    </row>
    <row r="26" spans="1:8" s="12" customFormat="1" hidden="1" outlineLevel="1" x14ac:dyDescent="0.3">
      <c r="A26" s="64"/>
      <c r="B26" s="69" t="s">
        <v>35</v>
      </c>
      <c r="C26" s="68" t="str">
        <f t="shared" si="3"/>
        <v>Ke góc khung cánh cửa sổ</v>
      </c>
      <c r="D26" s="53" t="s">
        <v>34</v>
      </c>
      <c r="E26" s="54">
        <v>509.01200000000006</v>
      </c>
      <c r="F26" s="46">
        <f t="shared" si="4"/>
        <v>98000</v>
      </c>
      <c r="G26" s="55">
        <v>49883176.000000007</v>
      </c>
      <c r="H26" s="56"/>
    </row>
    <row r="27" spans="1:8" s="12" customFormat="1" hidden="1" outlineLevel="1" x14ac:dyDescent="0.3">
      <c r="A27" s="64"/>
      <c r="B27" s="69" t="s">
        <v>36</v>
      </c>
      <c r="C27" s="68" t="str">
        <f t="shared" si="3"/>
        <v>Ke góc</v>
      </c>
      <c r="D27" s="53" t="s">
        <v>34</v>
      </c>
      <c r="E27" s="54">
        <v>3145.5550324560008</v>
      </c>
      <c r="F27" s="46">
        <f t="shared" si="4"/>
        <v>97999.999999999956</v>
      </c>
      <c r="G27" s="55">
        <v>308264393.18068796</v>
      </c>
      <c r="H27" s="56"/>
    </row>
    <row r="28" spans="1:8" s="12" customFormat="1" hidden="1" outlineLevel="1" x14ac:dyDescent="0.3">
      <c r="A28" s="64"/>
      <c r="B28" s="69" t="s">
        <v>37</v>
      </c>
      <c r="C28" s="68" t="str">
        <f t="shared" si="3"/>
        <v>Nẹp kính</v>
      </c>
      <c r="D28" s="53" t="s">
        <v>34</v>
      </c>
      <c r="E28" s="54">
        <v>3422.2420119999997</v>
      </c>
      <c r="F28" s="46">
        <f t="shared" si="4"/>
        <v>116300.00000000003</v>
      </c>
      <c r="G28" s="55">
        <v>398006745.99560004</v>
      </c>
      <c r="H28" s="56"/>
    </row>
    <row r="29" spans="1:8" s="12" customFormat="1" hidden="1" outlineLevel="1" x14ac:dyDescent="0.3">
      <c r="A29" s="64"/>
      <c r="B29" s="69" t="s">
        <v>38</v>
      </c>
      <c r="C29" s="68" t="str">
        <f t="shared" si="3"/>
        <v>Khung bao</v>
      </c>
      <c r="D29" s="53" t="s">
        <v>34</v>
      </c>
      <c r="E29" s="54">
        <v>7509.9674999999988</v>
      </c>
      <c r="F29" s="46">
        <f t="shared" si="4"/>
        <v>116300.00000000003</v>
      </c>
      <c r="G29" s="55">
        <v>873409220.25000012</v>
      </c>
      <c r="H29" s="56"/>
    </row>
    <row r="30" spans="1:8" s="12" customFormat="1" hidden="1" outlineLevel="1" x14ac:dyDescent="0.3">
      <c r="A30" s="64"/>
      <c r="B30" s="69" t="s">
        <v>39</v>
      </c>
      <c r="C30" s="68" t="str">
        <f t="shared" si="3"/>
        <v>Khung cánh mở ra</v>
      </c>
      <c r="D30" s="53" t="s">
        <v>34</v>
      </c>
      <c r="E30" s="54">
        <v>17272.491392000004</v>
      </c>
      <c r="F30" s="46">
        <f t="shared" si="4"/>
        <v>116299.99999999997</v>
      </c>
      <c r="G30" s="55">
        <v>2008790748.8895998</v>
      </c>
      <c r="H30" s="56"/>
    </row>
    <row r="31" spans="1:8" s="12" customFormat="1" hidden="1" outlineLevel="1" x14ac:dyDescent="0.3">
      <c r="A31" s="64"/>
      <c r="B31" s="69" t="s">
        <v>40</v>
      </c>
      <c r="C31" s="68" t="str">
        <f t="shared" si="3"/>
        <v>Đố động</v>
      </c>
      <c r="D31" s="53" t="s">
        <v>34</v>
      </c>
      <c r="E31" s="54">
        <v>1537.0609500000005</v>
      </c>
      <c r="F31" s="46">
        <f t="shared" si="4"/>
        <v>116299.99999999999</v>
      </c>
      <c r="G31" s="55">
        <v>178760188.48500004</v>
      </c>
      <c r="H31" s="56"/>
    </row>
    <row r="32" spans="1:8" s="12" customFormat="1" hidden="1" outlineLevel="1" x14ac:dyDescent="0.3">
      <c r="A32" s="64"/>
      <c r="B32" s="69" t="s">
        <v>41</v>
      </c>
      <c r="C32" s="68" t="str">
        <f t="shared" si="3"/>
        <v>Nẹp chân</v>
      </c>
      <c r="D32" s="53" t="s">
        <v>34</v>
      </c>
      <c r="E32" s="54">
        <v>263.52872000000002</v>
      </c>
      <c r="F32" s="46">
        <f t="shared" si="4"/>
        <v>116300</v>
      </c>
      <c r="G32" s="55">
        <v>30648390.136000004</v>
      </c>
      <c r="H32" s="56"/>
    </row>
    <row r="33" spans="1:8" s="12" customFormat="1" hidden="1" outlineLevel="1" x14ac:dyDescent="0.3">
      <c r="A33" s="64"/>
      <c r="B33" s="69" t="s">
        <v>42</v>
      </c>
      <c r="C33" s="68" t="str">
        <f t="shared" si="3"/>
        <v>Ngưỡng cửa</v>
      </c>
      <c r="D33" s="53" t="s">
        <v>34</v>
      </c>
      <c r="E33" s="54">
        <v>1008.3038000000004</v>
      </c>
      <c r="F33" s="46">
        <f t="shared" si="4"/>
        <v>116300.00000000001</v>
      </c>
      <c r="G33" s="55">
        <v>117265731.94000006</v>
      </c>
      <c r="H33" s="56"/>
    </row>
    <row r="34" spans="1:8" s="12" customFormat="1" hidden="1" outlineLevel="1" x14ac:dyDescent="0.3">
      <c r="A34" s="64"/>
      <c r="B34" s="69" t="s">
        <v>43</v>
      </c>
      <c r="C34" s="68" t="str">
        <f t="shared" si="3"/>
        <v>Khung bao cố định</v>
      </c>
      <c r="D34" s="53" t="s">
        <v>34</v>
      </c>
      <c r="E34" s="54">
        <v>8698.693900000002</v>
      </c>
      <c r="F34" s="46">
        <f t="shared" si="4"/>
        <v>116300.00000000006</v>
      </c>
      <c r="G34" s="55">
        <v>1011658100.5700008</v>
      </c>
      <c r="H34" s="56"/>
    </row>
    <row r="35" spans="1:8" s="12" customFormat="1" hidden="1" outlineLevel="1" x14ac:dyDescent="0.3">
      <c r="A35" s="64"/>
      <c r="B35" s="69" t="s">
        <v>44</v>
      </c>
      <c r="C35" s="68" t="str">
        <f t="shared" si="3"/>
        <v>Khung bao cửa sổ</v>
      </c>
      <c r="D35" s="53" t="s">
        <v>34</v>
      </c>
      <c r="E35" s="54">
        <v>213.03456</v>
      </c>
      <c r="F35" s="46">
        <f t="shared" si="4"/>
        <v>116300.00000000001</v>
      </c>
      <c r="G35" s="55">
        <v>24775919.328000002</v>
      </c>
      <c r="H35" s="56"/>
    </row>
    <row r="36" spans="1:8" s="12" customFormat="1" hidden="1" outlineLevel="1" x14ac:dyDescent="0.3">
      <c r="A36" s="64"/>
      <c r="B36" s="69" t="s">
        <v>45</v>
      </c>
      <c r="C36" s="68" t="str">
        <f t="shared" si="3"/>
        <v>Thanh trung gian</v>
      </c>
      <c r="D36" s="53" t="s">
        <v>34</v>
      </c>
      <c r="E36" s="54">
        <v>1953.7967699999999</v>
      </c>
      <c r="F36" s="46">
        <f t="shared" si="4"/>
        <v>116300.00000000001</v>
      </c>
      <c r="G36" s="55">
        <v>227226564.35100001</v>
      </c>
      <c r="H36" s="56"/>
    </row>
    <row r="37" spans="1:8" s="12" customFormat="1" hidden="1" outlineLevel="1" x14ac:dyDescent="0.3">
      <c r="A37" s="64"/>
      <c r="B37" s="69" t="s">
        <v>46</v>
      </c>
      <c r="C37" s="68" t="str">
        <f t="shared" si="3"/>
        <v>Thanh chuyển khung</v>
      </c>
      <c r="D37" s="53" t="s">
        <v>34</v>
      </c>
      <c r="E37" s="54">
        <v>2347.2673920000007</v>
      </c>
      <c r="F37" s="46">
        <f t="shared" si="4"/>
        <v>116299.99999999999</v>
      </c>
      <c r="G37" s="55">
        <v>272987197.68960005</v>
      </c>
      <c r="H37" s="56"/>
    </row>
    <row r="38" spans="1:8" s="12" customFormat="1" hidden="1" outlineLevel="1" x14ac:dyDescent="0.3">
      <c r="A38" s="64"/>
      <c r="B38" s="69" t="s">
        <v>47</v>
      </c>
      <c r="C38" s="68" t="str">
        <f t="shared" si="3"/>
        <v>Khung cánh cửa sổ</v>
      </c>
      <c r="D38" s="53" t="s">
        <v>34</v>
      </c>
      <c r="E38" s="54">
        <v>3471.380008000001</v>
      </c>
      <c r="F38" s="46">
        <f t="shared" si="4"/>
        <v>116299.99999999997</v>
      </c>
      <c r="G38" s="55">
        <v>403721494.93040001</v>
      </c>
      <c r="H38" s="56"/>
    </row>
    <row r="39" spans="1:8" s="12" customFormat="1" hidden="1" outlineLevel="1" x14ac:dyDescent="0.3">
      <c r="A39" s="64"/>
      <c r="B39" s="69" t="s">
        <v>48</v>
      </c>
      <c r="C39" s="68" t="str">
        <f t="shared" si="3"/>
        <v>Nẹp kính</v>
      </c>
      <c r="D39" s="53" t="s">
        <v>34</v>
      </c>
      <c r="E39" s="54">
        <v>3953.9483999999993</v>
      </c>
      <c r="F39" s="46">
        <f t="shared" si="4"/>
        <v>116299.99999999996</v>
      </c>
      <c r="G39" s="55">
        <v>459844198.91999972</v>
      </c>
      <c r="H39" s="56"/>
    </row>
    <row r="40" spans="1:8" s="12" customFormat="1" hidden="1" outlineLevel="1" x14ac:dyDescent="0.3">
      <c r="A40" s="64"/>
      <c r="B40" s="69" t="s">
        <v>49</v>
      </c>
      <c r="C40" s="68" t="str">
        <f t="shared" si="3"/>
        <v>Thanh nối khung</v>
      </c>
      <c r="D40" s="53" t="s">
        <v>34</v>
      </c>
      <c r="E40" s="54">
        <v>670.08535999999992</v>
      </c>
      <c r="F40" s="46">
        <f t="shared" si="4"/>
        <v>98000.000000000029</v>
      </c>
      <c r="G40" s="55">
        <v>65668365.280000009</v>
      </c>
      <c r="H40" s="56"/>
    </row>
    <row r="41" spans="1:8" s="12" customFormat="1" hidden="1" outlineLevel="1" x14ac:dyDescent="0.3">
      <c r="A41" s="64"/>
      <c r="B41" s="69" t="s">
        <v>50</v>
      </c>
      <c r="C41" s="68" t="str">
        <f t="shared" si="3"/>
        <v>Khung bao sổ lùa</v>
      </c>
      <c r="D41" s="53" t="s">
        <v>34</v>
      </c>
      <c r="E41" s="54">
        <v>1363.8256800000001</v>
      </c>
      <c r="F41" s="46">
        <f t="shared" si="4"/>
        <v>116300</v>
      </c>
      <c r="G41" s="55">
        <v>158612926.58400002</v>
      </c>
      <c r="H41" s="56"/>
    </row>
    <row r="42" spans="1:8" s="12" customFormat="1" hidden="1" outlineLevel="1" x14ac:dyDescent="0.3">
      <c r="A42" s="64"/>
      <c r="B42" s="69" t="s">
        <v>51</v>
      </c>
      <c r="C42" s="68" t="str">
        <f t="shared" si="3"/>
        <v>Khung cánh sổ lùa</v>
      </c>
      <c r="D42" s="53" t="s">
        <v>34</v>
      </c>
      <c r="E42" s="54">
        <v>1264.585088</v>
      </c>
      <c r="F42" s="46">
        <f t="shared" si="4"/>
        <v>116300</v>
      </c>
      <c r="G42" s="55">
        <v>147071245.7344</v>
      </c>
      <c r="H42" s="56"/>
    </row>
    <row r="43" spans="1:8" s="12" customFormat="1" hidden="1" outlineLevel="1" x14ac:dyDescent="0.3">
      <c r="A43" s="64"/>
      <c r="B43" s="69" t="s">
        <v>52</v>
      </c>
      <c r="C43" s="68" t="str">
        <f t="shared" si="3"/>
        <v>Thanh móc sổ lùa</v>
      </c>
      <c r="D43" s="53" t="s">
        <v>34</v>
      </c>
      <c r="E43" s="54">
        <v>112.02249599999999</v>
      </c>
      <c r="F43" s="46">
        <f t="shared" si="4"/>
        <v>116300.00000000001</v>
      </c>
      <c r="G43" s="55">
        <v>13028216.2848</v>
      </c>
      <c r="H43" s="56"/>
    </row>
    <row r="44" spans="1:8" s="12" customFormat="1" hidden="1" outlineLevel="1" x14ac:dyDescent="0.3">
      <c r="A44" s="64"/>
      <c r="B44" s="69" t="s">
        <v>53</v>
      </c>
      <c r="C44" s="68" t="str">
        <f t="shared" si="3"/>
        <v>Thanh ray</v>
      </c>
      <c r="D44" s="53" t="s">
        <v>34</v>
      </c>
      <c r="E44" s="54">
        <v>88.012224000000003</v>
      </c>
      <c r="F44" s="46">
        <f t="shared" si="4"/>
        <v>116300.00000000001</v>
      </c>
      <c r="G44" s="55">
        <v>10235821.651200002</v>
      </c>
      <c r="H44" s="56"/>
    </row>
    <row r="45" spans="1:8" s="12" customFormat="1" hidden="1" outlineLevel="1" x14ac:dyDescent="0.3">
      <c r="A45" s="64"/>
      <c r="B45" s="69" t="s">
        <v>54</v>
      </c>
      <c r="C45" s="68" t="str">
        <f t="shared" si="3"/>
        <v>Ke góc</v>
      </c>
      <c r="D45" s="53" t="s">
        <v>34</v>
      </c>
      <c r="E45" s="54">
        <v>755.39840000000004</v>
      </c>
      <c r="F45" s="46">
        <f t="shared" si="4"/>
        <v>98000</v>
      </c>
      <c r="G45" s="55">
        <v>74029043.200000003</v>
      </c>
      <c r="H45" s="56"/>
    </row>
    <row r="46" spans="1:8" s="12" customFormat="1" hidden="1" outlineLevel="1" x14ac:dyDescent="0.3">
      <c r="A46" s="64"/>
      <c r="B46" s="69" t="s">
        <v>55</v>
      </c>
      <c r="C46" s="68" t="str">
        <f t="shared" si="3"/>
        <v>Khung bao đứng/trên 2 ray</v>
      </c>
      <c r="D46" s="53" t="s">
        <v>34</v>
      </c>
      <c r="E46" s="54">
        <v>1940.9193600000006</v>
      </c>
      <c r="F46" s="46">
        <f t="shared" si="4"/>
        <v>116299.99999999999</v>
      </c>
      <c r="G46" s="55">
        <v>225728921.56800005</v>
      </c>
      <c r="H46" s="56"/>
    </row>
    <row r="47" spans="1:8" s="12" customFormat="1" hidden="1" outlineLevel="1" x14ac:dyDescent="0.3">
      <c r="A47" s="64"/>
      <c r="B47" s="69" t="s">
        <v>56</v>
      </c>
      <c r="C47" s="68" t="str">
        <f t="shared" si="3"/>
        <v>Khung bao dưới 2 ray</v>
      </c>
      <c r="D47" s="53" t="s">
        <v>34</v>
      </c>
      <c r="E47" s="54">
        <v>788.9007600000001</v>
      </c>
      <c r="F47" s="46">
        <f t="shared" si="4"/>
        <v>116300</v>
      </c>
      <c r="G47" s="55">
        <v>91749158.388000011</v>
      </c>
      <c r="H47" s="56"/>
    </row>
    <row r="48" spans="1:8" s="12" customFormat="1" hidden="1" outlineLevel="1" x14ac:dyDescent="0.3">
      <c r="A48" s="64"/>
      <c r="B48" s="69" t="s">
        <v>57</v>
      </c>
      <c r="C48" s="68" t="str">
        <f t="shared" si="3"/>
        <v>Khung bao ô cố định</v>
      </c>
      <c r="D48" s="53" t="s">
        <v>34</v>
      </c>
      <c r="E48" s="54">
        <v>333.76538000000005</v>
      </c>
      <c r="F48" s="46">
        <f t="shared" si="4"/>
        <v>116299.99999999997</v>
      </c>
      <c r="G48" s="55">
        <v>38816913.693999998</v>
      </c>
      <c r="H48" s="56"/>
    </row>
    <row r="49" spans="1:8" s="12" customFormat="1" hidden="1" outlineLevel="1" x14ac:dyDescent="0.3">
      <c r="A49" s="64"/>
      <c r="B49" s="69" t="s">
        <v>58</v>
      </c>
      <c r="C49" s="68" t="str">
        <f t="shared" si="3"/>
        <v>Khung bao đứng/trên 3 ray</v>
      </c>
      <c r="D49" s="53" t="s">
        <v>34</v>
      </c>
      <c r="E49" s="54">
        <v>1026.7870200000002</v>
      </c>
      <c r="F49" s="46">
        <f t="shared" si="4"/>
        <v>116300</v>
      </c>
      <c r="G49" s="55">
        <v>119415330.42600003</v>
      </c>
      <c r="H49" s="56"/>
    </row>
    <row r="50" spans="1:8" s="12" customFormat="1" hidden="1" outlineLevel="1" x14ac:dyDescent="0.3">
      <c r="A50" s="64"/>
      <c r="B50" s="69" t="s">
        <v>59</v>
      </c>
      <c r="C50" s="68" t="str">
        <f t="shared" si="3"/>
        <v>Khung bao dưới 3 ray</v>
      </c>
      <c r="D50" s="53" t="s">
        <v>34</v>
      </c>
      <c r="E50" s="54">
        <v>449.95092000000011</v>
      </c>
      <c r="F50" s="46">
        <f t="shared" si="4"/>
        <v>116300</v>
      </c>
      <c r="G50" s="55">
        <v>52329291.996000014</v>
      </c>
      <c r="H50" s="56"/>
    </row>
    <row r="51" spans="1:8" s="12" customFormat="1" hidden="1" outlineLevel="1" x14ac:dyDescent="0.3">
      <c r="A51" s="64"/>
      <c r="B51" s="69" t="s">
        <v>60</v>
      </c>
      <c r="C51" s="68" t="str">
        <f t="shared" si="3"/>
        <v>Nẹp ray</v>
      </c>
      <c r="D51" s="53" t="s">
        <v>34</v>
      </c>
      <c r="E51" s="54">
        <v>377.29640000000006</v>
      </c>
      <c r="F51" s="46">
        <f t="shared" si="4"/>
        <v>116300</v>
      </c>
      <c r="G51" s="55">
        <v>43879571.320000008</v>
      </c>
      <c r="H51" s="56"/>
    </row>
    <row r="52" spans="1:8" s="12" customFormat="1" hidden="1" outlineLevel="1" x14ac:dyDescent="0.3">
      <c r="A52" s="64"/>
      <c r="B52" s="69" t="s">
        <v>61</v>
      </c>
      <c r="C52" s="68" t="str">
        <f t="shared" si="3"/>
        <v>Khung cánh</v>
      </c>
      <c r="D52" s="53" t="s">
        <v>34</v>
      </c>
      <c r="E52" s="54">
        <v>5332.5305520000002</v>
      </c>
      <c r="F52" s="46">
        <f t="shared" si="4"/>
        <v>116300.00000000001</v>
      </c>
      <c r="G52" s="55">
        <v>620173303.19760013</v>
      </c>
      <c r="H52" s="56"/>
    </row>
    <row r="53" spans="1:8" s="12" customFormat="1" hidden="1" outlineLevel="1" x14ac:dyDescent="0.3">
      <c r="A53" s="64"/>
      <c r="B53" s="69" t="s">
        <v>62</v>
      </c>
      <c r="C53" s="68" t="str">
        <f t="shared" si="3"/>
        <v>Nẹp kính</v>
      </c>
      <c r="D53" s="53" t="s">
        <v>34</v>
      </c>
      <c r="E53" s="54">
        <v>1078.7051840000001</v>
      </c>
      <c r="F53" s="46">
        <f t="shared" si="4"/>
        <v>116300</v>
      </c>
      <c r="G53" s="55">
        <v>125453412.89920002</v>
      </c>
      <c r="H53" s="56"/>
    </row>
    <row r="54" spans="1:8" s="12" customFormat="1" hidden="1" outlineLevel="1" x14ac:dyDescent="0.3">
      <c r="A54" s="64"/>
      <c r="B54" s="69" t="s">
        <v>63</v>
      </c>
      <c r="C54" s="68" t="str">
        <f t="shared" si="3"/>
        <v>Nẹp móc lớn</v>
      </c>
      <c r="D54" s="53" t="s">
        <v>34</v>
      </c>
      <c r="E54" s="54">
        <v>2689.7553000000007</v>
      </c>
      <c r="F54" s="46">
        <f t="shared" si="4"/>
        <v>116299.99999999999</v>
      </c>
      <c r="G54" s="55">
        <v>312818541.39000005</v>
      </c>
      <c r="H54" s="56"/>
    </row>
    <row r="55" spans="1:8" s="12" customFormat="1" hidden="1" outlineLevel="1" x14ac:dyDescent="0.3">
      <c r="A55" s="64"/>
      <c r="B55" s="69" t="s">
        <v>64</v>
      </c>
      <c r="C55" s="68" t="str">
        <f t="shared" si="3"/>
        <v>Nối khung</v>
      </c>
      <c r="D55" s="53" t="s">
        <v>34</v>
      </c>
      <c r="E55" s="54">
        <v>50.281100000000009</v>
      </c>
      <c r="F55" s="46">
        <f t="shared" si="4"/>
        <v>98000</v>
      </c>
      <c r="G55" s="55">
        <v>4927547.8000000007</v>
      </c>
      <c r="H55" s="56"/>
    </row>
    <row r="56" spans="1:8" s="12" customFormat="1" hidden="1" outlineLevel="1" x14ac:dyDescent="0.3">
      <c r="A56" s="64"/>
      <c r="B56" s="69" t="s">
        <v>65</v>
      </c>
      <c r="C56" s="68" t="str">
        <f t="shared" si="3"/>
        <v>Đối đầu</v>
      </c>
      <c r="D56" s="53" t="s">
        <v>34</v>
      </c>
      <c r="E56" s="54">
        <v>77.479110000000006</v>
      </c>
      <c r="F56" s="46">
        <f t="shared" si="4"/>
        <v>116300</v>
      </c>
      <c r="G56" s="55">
        <v>9010820.4930000007</v>
      </c>
      <c r="H56" s="56"/>
    </row>
    <row r="57" spans="1:8" s="12" customFormat="1" hidden="1" outlineLevel="1" x14ac:dyDescent="0.3">
      <c r="A57" s="64"/>
      <c r="B57" s="69" t="s">
        <v>66</v>
      </c>
      <c r="C57" s="68" t="str">
        <f t="shared" si="3"/>
        <v>Ke khung cánh (hệ XingFa)</v>
      </c>
      <c r="D57" s="53" t="s">
        <v>34</v>
      </c>
      <c r="E57" s="54">
        <v>350.05440000000004</v>
      </c>
      <c r="F57" s="46">
        <f t="shared" si="4"/>
        <v>98000</v>
      </c>
      <c r="G57" s="55">
        <v>34305331.200000003</v>
      </c>
      <c r="H57" s="56"/>
    </row>
    <row r="58" spans="1:8" s="12" customFormat="1" collapsed="1" x14ac:dyDescent="0.3">
      <c r="A58" s="35" t="s">
        <v>67</v>
      </c>
      <c r="B58" s="36" t="s">
        <v>68</v>
      </c>
      <c r="C58" s="58"/>
      <c r="D58" s="51"/>
      <c r="E58" s="38">
        <f>SUBTOTAL(9,E59:E64)</f>
        <v>54176.454794000005</v>
      </c>
      <c r="F58" s="39">
        <f>IFERROR(G58/E58,0)</f>
        <v>88332.902771482841</v>
      </c>
      <c r="G58" s="40">
        <f>SUBTOTAL(9,G59:G64)</f>
        <v>4785563513.8220377</v>
      </c>
      <c r="H58" s="41"/>
    </row>
    <row r="59" spans="1:8" s="73" customFormat="1" hidden="1" outlineLevel="1" x14ac:dyDescent="0.3">
      <c r="A59" s="70"/>
      <c r="B59" s="71" t="s">
        <v>69</v>
      </c>
      <c r="C59" s="72" t="str">
        <f t="shared" ref="C59:C64" si="5">IF(B59="","",_xlfn.IFNA(INDEX(tenkinh,MATCH(B59,makinh,0),0),0))</f>
        <v>Băng keo bảo vệ kính</v>
      </c>
      <c r="D59" s="57" t="s">
        <v>16</v>
      </c>
      <c r="E59" s="54">
        <v>19912.303196000001</v>
      </c>
      <c r="F59" s="46">
        <f t="shared" ref="F59:F64" si="6">IF(ISERR(G59/E59)=TRUE,"",G59/E59)</f>
        <v>10000.000000000002</v>
      </c>
      <c r="G59" s="55">
        <v>199123031.96000004</v>
      </c>
      <c r="H59" s="56"/>
    </row>
    <row r="60" spans="1:8" s="73" customFormat="1" hidden="1" outlineLevel="1" x14ac:dyDescent="0.3">
      <c r="A60" s="70"/>
      <c r="B60" s="71" t="s">
        <v>70</v>
      </c>
      <c r="C60" s="72" t="str">
        <f t="shared" si="5"/>
        <v>Kính trắng cường lực dày 10mm</v>
      </c>
      <c r="D60" s="57" t="s">
        <v>16</v>
      </c>
      <c r="E60" s="54">
        <v>8409.6961050000027</v>
      </c>
      <c r="F60" s="46">
        <f t="shared" si="6"/>
        <v>441666.66666666657</v>
      </c>
      <c r="G60" s="55">
        <v>3714282446.3750005</v>
      </c>
      <c r="H60" s="56"/>
    </row>
    <row r="61" spans="1:8" s="73" customFormat="1" hidden="1" outlineLevel="1" x14ac:dyDescent="0.3">
      <c r="A61" s="70"/>
      <c r="B61" s="71" t="s">
        <v>71</v>
      </c>
      <c r="C61" s="72" t="str">
        <f t="shared" si="5"/>
        <v>Kính trắng cường lực dày 8mm</v>
      </c>
      <c r="D61" s="57" t="s">
        <v>16</v>
      </c>
      <c r="E61" s="54">
        <v>1546.4554930000004</v>
      </c>
      <c r="F61" s="46">
        <f t="shared" si="6"/>
        <v>353703.70370370365</v>
      </c>
      <c r="G61" s="55">
        <v>546987035.48703706</v>
      </c>
      <c r="H61" s="56"/>
    </row>
    <row r="62" spans="1:8" s="73" customFormat="1" hidden="1" outlineLevel="1" x14ac:dyDescent="0.3">
      <c r="A62" s="70"/>
      <c r="B62" s="71" t="s">
        <v>72</v>
      </c>
      <c r="C62" s="72" t="str">
        <f t="shared" si="5"/>
        <v>Khoan lỗ</v>
      </c>
      <c r="D62" s="57" t="s">
        <v>16</v>
      </c>
      <c r="E62" s="54">
        <v>2163</v>
      </c>
      <c r="F62" s="46">
        <f t="shared" si="6"/>
        <v>5000</v>
      </c>
      <c r="G62" s="55">
        <v>10815000</v>
      </c>
      <c r="H62" s="56"/>
    </row>
    <row r="63" spans="1:8" s="73" customFormat="1" hidden="1" outlineLevel="1" x14ac:dyDescent="0.3">
      <c r="A63" s="70"/>
      <c r="B63" s="71" t="s">
        <v>73</v>
      </c>
      <c r="C63" s="72" t="str">
        <f t="shared" si="5"/>
        <v>Khoét lỗ</v>
      </c>
      <c r="D63" s="57" t="s">
        <v>16</v>
      </c>
      <c r="E63" s="54">
        <v>11433</v>
      </c>
      <c r="F63" s="46">
        <f t="shared" si="6"/>
        <v>20000</v>
      </c>
      <c r="G63" s="55">
        <v>228660000</v>
      </c>
      <c r="H63" s="56"/>
    </row>
    <row r="64" spans="1:8" s="73" customFormat="1" hidden="1" outlineLevel="1" x14ac:dyDescent="0.3">
      <c r="A64" s="70"/>
      <c r="B64" s="71" t="s">
        <v>74</v>
      </c>
      <c r="C64" s="72" t="str">
        <f t="shared" si="5"/>
        <v>Mài bóng</v>
      </c>
      <c r="D64" s="57" t="s">
        <v>16</v>
      </c>
      <c r="E64" s="54">
        <v>10712</v>
      </c>
      <c r="F64" s="46">
        <f t="shared" si="6"/>
        <v>8000</v>
      </c>
      <c r="G64" s="55">
        <v>85696000</v>
      </c>
      <c r="H64" s="56"/>
    </row>
    <row r="65" spans="1:8" s="12" customFormat="1" collapsed="1" x14ac:dyDescent="0.3">
      <c r="A65" s="35" t="s">
        <v>75</v>
      </c>
      <c r="B65" s="36" t="s">
        <v>76</v>
      </c>
      <c r="C65" s="58"/>
      <c r="D65" s="74"/>
      <c r="E65" s="38">
        <f>SUBTOTAL(9,E66:E80)</f>
        <v>14653.333333333332</v>
      </c>
      <c r="F65" s="39">
        <f>IFERROR(G65/E65,0)</f>
        <v>215170.77492038219</v>
      </c>
      <c r="G65" s="40">
        <f>SUBTOTAL(9,G66:G80)</f>
        <v>3152969088.5</v>
      </c>
      <c r="H65" s="41"/>
    </row>
    <row r="66" spans="1:8" s="12" customFormat="1" hidden="1" outlineLevel="1" x14ac:dyDescent="0.3">
      <c r="A66" s="52"/>
      <c r="B66" s="68" t="s">
        <v>77</v>
      </c>
      <c r="C66" s="68" t="str">
        <f t="shared" ref="C66:C80" si="7">IF(B66="","",_xlfn.IFNA(INDEX(diengiaivattu,MATCH(B66,mavattu,0),0),0))</f>
        <v>Bát nối chữ L - Hafele (Bóng)</v>
      </c>
      <c r="D66" s="75" t="str">
        <f t="shared" ref="D66:D80" si="8">IF(B66="","",_xlfn.IFNA(INDEX(donvivattu,MATCH(B66,mavattu,0),0),0))</f>
        <v>Cây</v>
      </c>
      <c r="E66" s="54">
        <v>300</v>
      </c>
      <c r="F66" s="46">
        <f t="shared" ref="F66:F80" si="9">IF(ISERR(G66/E66)=TRUE,"",G66/E66)</f>
        <v>272685</v>
      </c>
      <c r="G66" s="55">
        <v>81805500</v>
      </c>
      <c r="H66" s="56"/>
    </row>
    <row r="67" spans="1:8" s="12" customFormat="1" hidden="1" outlineLevel="1" x14ac:dyDescent="0.3">
      <c r="A67" s="64"/>
      <c r="B67" s="69" t="s">
        <v>78</v>
      </c>
      <c r="C67" s="68" t="str">
        <f t="shared" si="7"/>
        <v>Bản lề kính - kính (135 độ) - Hafele (Bóng)</v>
      </c>
      <c r="D67" s="75" t="str">
        <f t="shared" si="8"/>
        <v>Chiếc</v>
      </c>
      <c r="E67" s="54">
        <v>600</v>
      </c>
      <c r="F67" s="46">
        <f t="shared" si="9"/>
        <v>528675</v>
      </c>
      <c r="G67" s="55">
        <v>317205000</v>
      </c>
      <c r="H67" s="56"/>
    </row>
    <row r="68" spans="1:8" s="12" customFormat="1" hidden="1" outlineLevel="1" x14ac:dyDescent="0.3">
      <c r="A68" s="64"/>
      <c r="B68" s="69" t="s">
        <v>79</v>
      </c>
      <c r="C68" s="68" t="str">
        <f t="shared" si="7"/>
        <v>Bản lề kính - kính (180 độ) - Hafele (Bóng)</v>
      </c>
      <c r="D68" s="75" t="str">
        <f t="shared" si="8"/>
        <v>Chiếc</v>
      </c>
      <c r="E68" s="54">
        <v>600</v>
      </c>
      <c r="F68" s="46">
        <f t="shared" si="9"/>
        <v>525525</v>
      </c>
      <c r="G68" s="55">
        <v>315315000</v>
      </c>
      <c r="H68" s="56"/>
    </row>
    <row r="69" spans="1:8" s="12" customFormat="1" hidden="1" outlineLevel="1" x14ac:dyDescent="0.3">
      <c r="A69" s="64"/>
      <c r="B69" s="69" t="s">
        <v>80</v>
      </c>
      <c r="C69" s="68" t="str">
        <f t="shared" si="7"/>
        <v>Bản lề kính - kính (90 độ) - Hafele (Bóng)</v>
      </c>
      <c r="D69" s="75" t="str">
        <f t="shared" si="8"/>
        <v>Chiếc</v>
      </c>
      <c r="E69" s="54">
        <v>300</v>
      </c>
      <c r="F69" s="46">
        <f t="shared" si="9"/>
        <v>528675</v>
      </c>
      <c r="G69" s="55">
        <v>158602500</v>
      </c>
      <c r="H69" s="56"/>
    </row>
    <row r="70" spans="1:8" s="12" customFormat="1" hidden="1" outlineLevel="1" x14ac:dyDescent="0.3">
      <c r="A70" s="64"/>
      <c r="B70" s="69" t="s">
        <v>81</v>
      </c>
      <c r="C70" s="68" t="str">
        <f t="shared" si="7"/>
        <v>Bản lề kính - tường (90 độ) - Hafele (Bóng)</v>
      </c>
      <c r="D70" s="75" t="str">
        <f t="shared" si="8"/>
        <v>Chiếc</v>
      </c>
      <c r="E70" s="54">
        <v>600</v>
      </c>
      <c r="F70" s="46">
        <f t="shared" si="9"/>
        <v>363825</v>
      </c>
      <c r="G70" s="55">
        <v>218295000</v>
      </c>
      <c r="H70" s="56"/>
    </row>
    <row r="71" spans="1:8" s="12" customFormat="1" hidden="1" outlineLevel="1" x14ac:dyDescent="0.3">
      <c r="A71" s="64"/>
      <c r="B71" s="69" t="s">
        <v>82</v>
      </c>
      <c r="C71" s="68" t="str">
        <f t="shared" si="7"/>
        <v>Bát ống inox - tường - Hafele (Bóng)</v>
      </c>
      <c r="D71" s="75" t="str">
        <f t="shared" si="8"/>
        <v>Chiếc</v>
      </c>
      <c r="E71" s="54">
        <v>1400</v>
      </c>
      <c r="F71" s="46">
        <f t="shared" si="9"/>
        <v>166950</v>
      </c>
      <c r="G71" s="55">
        <v>233730000</v>
      </c>
      <c r="H71" s="56"/>
    </row>
    <row r="72" spans="1:8" s="12" customFormat="1" hidden="1" outlineLevel="1" x14ac:dyDescent="0.3">
      <c r="A72" s="64"/>
      <c r="B72" s="69" t="s">
        <v>83</v>
      </c>
      <c r="C72" s="68" t="str">
        <f t="shared" si="7"/>
        <v>Cút chuyển góc ống inox - Hafele (Bóng)</v>
      </c>
      <c r="D72" s="75" t="str">
        <f t="shared" si="8"/>
        <v>Chiếc</v>
      </c>
      <c r="E72" s="54">
        <v>300</v>
      </c>
      <c r="F72" s="46">
        <f t="shared" si="9"/>
        <v>272685</v>
      </c>
      <c r="G72" s="55">
        <v>81805500</v>
      </c>
      <c r="H72" s="56"/>
    </row>
    <row r="73" spans="1:8" s="12" customFormat="1" hidden="1" outlineLevel="1" x14ac:dyDescent="0.3">
      <c r="A73" s="64"/>
      <c r="B73" s="69" t="s">
        <v>84</v>
      </c>
      <c r="C73" s="68" t="str">
        <f t="shared" si="7"/>
        <v>Con sỏ ống inox - kính - Hafele (Bóng)</v>
      </c>
      <c r="D73" s="75" t="str">
        <f t="shared" si="8"/>
        <v>Chiếc</v>
      </c>
      <c r="E73" s="54">
        <v>1800</v>
      </c>
      <c r="F73" s="46">
        <f t="shared" si="9"/>
        <v>194775</v>
      </c>
      <c r="G73" s="55">
        <v>350595000</v>
      </c>
      <c r="H73" s="56"/>
    </row>
    <row r="74" spans="1:8" s="12" customFormat="1" hidden="1" outlineLevel="1" x14ac:dyDescent="0.3">
      <c r="A74" s="64"/>
      <c r="B74" s="69" t="s">
        <v>85</v>
      </c>
      <c r="C74" s="68" t="str">
        <f t="shared" si="7"/>
        <v>Gioăng chắn nước cạnh cửa (ngang + đứng) (2200mm/cây) - Hafele (Bóng)</v>
      </c>
      <c r="D74" s="75" t="str">
        <f t="shared" si="8"/>
        <v>Cây</v>
      </c>
      <c r="E74" s="54">
        <v>933.33333333333303</v>
      </c>
      <c r="F74" s="46">
        <f t="shared" si="9"/>
        <v>51450.000000000015</v>
      </c>
      <c r="G74" s="55">
        <v>48020000</v>
      </c>
      <c r="H74" s="56"/>
    </row>
    <row r="75" spans="1:8" s="12" customFormat="1" hidden="1" outlineLevel="1" x14ac:dyDescent="0.3">
      <c r="A75" s="64"/>
      <c r="B75" s="69" t="s">
        <v>86</v>
      </c>
      <c r="C75" s="68" t="str">
        <f t="shared" si="7"/>
        <v>Ống inox (3000mm/cây) - Hafele (Bóng)</v>
      </c>
      <c r="D75" s="75" t="str">
        <f t="shared" si="8"/>
        <v>Md</v>
      </c>
      <c r="E75" s="54">
        <v>1020</v>
      </c>
      <c r="F75" s="46">
        <f t="shared" si="9"/>
        <v>130777.5</v>
      </c>
      <c r="G75" s="55">
        <v>133393050</v>
      </c>
      <c r="H75" s="56"/>
    </row>
    <row r="76" spans="1:8" s="12" customFormat="1" hidden="1" outlineLevel="1" x14ac:dyDescent="0.3">
      <c r="A76" s="64"/>
      <c r="B76" s="69" t="s">
        <v>87</v>
      </c>
      <c r="C76" s="68" t="str">
        <f t="shared" si="7"/>
        <v>Gioăng từ (2200mm/cây) - Hafele (Bóng)</v>
      </c>
      <c r="D76" s="75" t="str">
        <f t="shared" si="8"/>
        <v>Cây</v>
      </c>
      <c r="E76" s="54">
        <v>700</v>
      </c>
      <c r="F76" s="46">
        <f t="shared" si="9"/>
        <v>300510</v>
      </c>
      <c r="G76" s="55">
        <v>210357000</v>
      </c>
      <c r="H76" s="56"/>
    </row>
    <row r="77" spans="1:8" s="12" customFormat="1" hidden="1" outlineLevel="1" x14ac:dyDescent="0.3">
      <c r="A77" s="64"/>
      <c r="B77" s="69" t="s">
        <v>88</v>
      </c>
      <c r="C77" s="68" t="str">
        <f t="shared" si="7"/>
        <v>Kẹp kính - kính - Hafele (Bóng)</v>
      </c>
      <c r="D77" s="75" t="str">
        <f t="shared" si="8"/>
        <v>Chiếc</v>
      </c>
      <c r="E77" s="54">
        <v>300</v>
      </c>
      <c r="F77" s="46">
        <f t="shared" si="9"/>
        <v>192231.79500000004</v>
      </c>
      <c r="G77" s="55">
        <v>57669538.500000015</v>
      </c>
      <c r="H77" s="56"/>
    </row>
    <row r="78" spans="1:8" s="12" customFormat="1" hidden="1" outlineLevel="1" x14ac:dyDescent="0.3">
      <c r="A78" s="64"/>
      <c r="B78" s="69" t="s">
        <v>89</v>
      </c>
      <c r="C78" s="68" t="str">
        <f t="shared" si="7"/>
        <v>Kẹp kính - sàn - Hafele (Bóng)</v>
      </c>
      <c r="D78" s="75" t="str">
        <f t="shared" si="8"/>
        <v>Chiếc</v>
      </c>
      <c r="E78" s="54">
        <v>1800</v>
      </c>
      <c r="F78" s="46">
        <f t="shared" si="9"/>
        <v>127050</v>
      </c>
      <c r="G78" s="55">
        <v>228690000</v>
      </c>
      <c r="H78" s="56"/>
    </row>
    <row r="79" spans="1:8" s="12" customFormat="1" hidden="1" outlineLevel="1" x14ac:dyDescent="0.3">
      <c r="A79" s="64"/>
      <c r="B79" s="69" t="s">
        <v>90</v>
      </c>
      <c r="C79" s="68" t="str">
        <f t="shared" si="7"/>
        <v>Kẹp kính - tường - Hafele (Bóng)</v>
      </c>
      <c r="D79" s="75" t="str">
        <f t="shared" si="8"/>
        <v>Chiếc</v>
      </c>
      <c r="E79" s="54">
        <v>3300</v>
      </c>
      <c r="F79" s="46">
        <f t="shared" si="9"/>
        <v>127995</v>
      </c>
      <c r="G79" s="55">
        <v>422383500</v>
      </c>
      <c r="H79" s="56"/>
    </row>
    <row r="80" spans="1:8" s="12" customFormat="1" hidden="1" outlineLevel="1" x14ac:dyDescent="0.3">
      <c r="A80" s="64"/>
      <c r="B80" s="69" t="s">
        <v>91</v>
      </c>
      <c r="C80" s="68" t="str">
        <f t="shared" si="7"/>
        <v>Tay kéo tròn - Hafele (Bóng)</v>
      </c>
      <c r="D80" s="75" t="str">
        <f t="shared" si="8"/>
        <v>Chiếc</v>
      </c>
      <c r="E80" s="54">
        <v>700</v>
      </c>
      <c r="F80" s="46">
        <f t="shared" si="9"/>
        <v>421575</v>
      </c>
      <c r="G80" s="55">
        <v>295102500</v>
      </c>
      <c r="H80" s="56"/>
    </row>
    <row r="81" spans="1:8" s="12" customFormat="1" collapsed="1" x14ac:dyDescent="0.3">
      <c r="A81" s="35" t="s">
        <v>92</v>
      </c>
      <c r="B81" s="36" t="s">
        <v>93</v>
      </c>
      <c r="C81" s="58"/>
      <c r="D81" s="76"/>
      <c r="E81" s="38">
        <f>SUBTOTAL(9,E82:E83)</f>
        <v>51402.75</v>
      </c>
      <c r="F81" s="39">
        <f>IFERROR(G81/E81,0)</f>
        <v>4000.0000000000005</v>
      </c>
      <c r="G81" s="40">
        <f>SUBTOTAL(9,G82:G83)</f>
        <v>205611000.00000003</v>
      </c>
      <c r="H81" s="41"/>
    </row>
    <row r="82" spans="1:8" s="12" customFormat="1" hidden="1" outlineLevel="1" x14ac:dyDescent="0.3">
      <c r="A82" s="64"/>
      <c r="B82" s="69" t="s">
        <v>94</v>
      </c>
      <c r="C82" s="68" t="str">
        <f t="shared" ref="C82:C83" si="10">IF(B82="","",_xlfn.IFNA(INDEX(diengiaivattu,MATCH(B82,mavattu,0),0),0))</f>
        <v>Gioăng cao su</v>
      </c>
      <c r="D82" s="75" t="str">
        <f t="shared" ref="D82:D83" si="11">IF(B82="","",_xlfn.IFNA(INDEX(donvivattu,MATCH(B82,mavattu,0),0),0))</f>
        <v>md</v>
      </c>
      <c r="E82" s="54">
        <v>36786.75</v>
      </c>
      <c r="F82" s="46">
        <f t="shared" ref="F82:F83" si="12">IF(ISERR(G82/E82)=TRUE,"",G82/E82)</f>
        <v>4000.0000000000009</v>
      </c>
      <c r="G82" s="55">
        <v>147147000.00000003</v>
      </c>
      <c r="H82" s="56"/>
    </row>
    <row r="83" spans="1:8" s="12" customFormat="1" hidden="1" outlineLevel="1" x14ac:dyDescent="0.3">
      <c r="A83" s="64"/>
      <c r="B83" s="69" t="s">
        <v>95</v>
      </c>
      <c r="C83" s="68" t="str">
        <f t="shared" si="10"/>
        <v>Gioăng lông</v>
      </c>
      <c r="D83" s="75" t="str">
        <f t="shared" si="11"/>
        <v>md</v>
      </c>
      <c r="E83" s="54">
        <v>14616</v>
      </c>
      <c r="F83" s="46">
        <f t="shared" si="12"/>
        <v>4000</v>
      </c>
      <c r="G83" s="55">
        <v>58464000</v>
      </c>
      <c r="H83" s="56"/>
    </row>
    <row r="84" spans="1:8" s="12" customFormat="1" collapsed="1" x14ac:dyDescent="0.3">
      <c r="A84" s="35" t="s">
        <v>96</v>
      </c>
      <c r="B84" s="36" t="s">
        <v>97</v>
      </c>
      <c r="C84" s="58"/>
      <c r="D84" s="76"/>
      <c r="E84" s="38">
        <f>SUBTOTAL(9,E85:E88)</f>
        <v>339514.5</v>
      </c>
      <c r="F84" s="39">
        <f>IFERROR(G84/E84,0)</f>
        <v>2099.5480310855646</v>
      </c>
      <c r="G84" s="40">
        <f>SUBTOTAL(9,G85:G88)</f>
        <v>712827000</v>
      </c>
      <c r="H84" s="41"/>
    </row>
    <row r="85" spans="1:8" s="12" customFormat="1" hidden="1" outlineLevel="1" x14ac:dyDescent="0.3">
      <c r="A85" s="52"/>
      <c r="B85" s="68" t="s">
        <v>98</v>
      </c>
      <c r="C85" s="68" t="str">
        <f t="shared" ref="C85:C88" si="13">IF(B85="","",_xlfn.IFNA(INDEX(diengiaivattu,MATCH(B85,mavattu,0),0),0))</f>
        <v>Bơm Foam</v>
      </c>
      <c r="D85" s="75" t="str">
        <f t="shared" ref="D85:D88" si="14">IF(B85="","",_xlfn.IFNA(INDEX(donvivattu,MATCH(B85,mavattu,0),0),0))</f>
        <v>Mét</v>
      </c>
      <c r="E85" s="54">
        <v>19170</v>
      </c>
      <c r="F85" s="46">
        <f t="shared" ref="F85:F88" si="15">IF(ISERR(G85/E85)=TRUE,"",G85/E85)</f>
        <v>20000</v>
      </c>
      <c r="G85" s="55">
        <v>383400000</v>
      </c>
      <c r="H85" s="56"/>
    </row>
    <row r="86" spans="1:8" s="12" customFormat="1" hidden="1" outlineLevel="1" x14ac:dyDescent="0.3">
      <c r="A86" s="52"/>
      <c r="B86" s="68" t="s">
        <v>99</v>
      </c>
      <c r="C86" s="68" t="str">
        <f t="shared" si="13"/>
        <v>Nút bịt nhựa</v>
      </c>
      <c r="D86" s="75" t="str">
        <f t="shared" si="14"/>
        <v>Cái</v>
      </c>
      <c r="E86" s="54">
        <v>24885</v>
      </c>
      <c r="F86" s="46">
        <f t="shared" si="15"/>
        <v>700</v>
      </c>
      <c r="G86" s="55">
        <v>17419500</v>
      </c>
      <c r="H86" s="56"/>
    </row>
    <row r="87" spans="1:8" s="12" customFormat="1" hidden="1" outlineLevel="1" x14ac:dyDescent="0.3">
      <c r="A87" s="52"/>
      <c r="B87" s="68" t="s">
        <v>100</v>
      </c>
      <c r="C87" s="68" t="str">
        <f t="shared" si="13"/>
        <v>Ốc vít</v>
      </c>
      <c r="D87" s="75" t="str">
        <f t="shared" si="14"/>
        <v>Cái</v>
      </c>
      <c r="E87" s="54">
        <v>292425</v>
      </c>
      <c r="F87" s="46">
        <f t="shared" si="15"/>
        <v>600</v>
      </c>
      <c r="G87" s="55">
        <v>175455000</v>
      </c>
      <c r="H87" s="56"/>
    </row>
    <row r="88" spans="1:8" s="12" customFormat="1" hidden="1" outlineLevel="1" x14ac:dyDescent="0.3">
      <c r="A88" s="52"/>
      <c r="B88" s="68" t="s">
        <v>101</v>
      </c>
      <c r="C88" s="68" t="str">
        <f t="shared" si="13"/>
        <v>Sika chân CDL/CDMQ</v>
      </c>
      <c r="D88" s="75" t="str">
        <f t="shared" si="14"/>
        <v>md</v>
      </c>
      <c r="E88" s="54">
        <v>3034.5</v>
      </c>
      <c r="F88" s="46">
        <f t="shared" si="15"/>
        <v>45000</v>
      </c>
      <c r="G88" s="55">
        <v>136552500</v>
      </c>
      <c r="H88" s="56"/>
    </row>
    <row r="89" spans="1:8" s="12" customFormat="1" collapsed="1" x14ac:dyDescent="0.3">
      <c r="A89" s="35" t="s">
        <v>102</v>
      </c>
      <c r="B89" s="36" t="s">
        <v>103</v>
      </c>
      <c r="C89" s="58"/>
      <c r="D89" s="76"/>
      <c r="E89" s="38">
        <f>SUBTOTAL(9,E90:E90)</f>
        <v>9912</v>
      </c>
      <c r="F89" s="39">
        <f>IFERROR(G89/E89,0)</f>
        <v>30000</v>
      </c>
      <c r="G89" s="40">
        <f>SUBTOTAL(9,G90:G90)</f>
        <v>297360000</v>
      </c>
      <c r="H89" s="41"/>
    </row>
    <row r="90" spans="1:8" s="12" customFormat="1" hidden="1" outlineLevel="1" x14ac:dyDescent="0.3">
      <c r="A90" s="59"/>
      <c r="B90" s="77" t="s">
        <v>104</v>
      </c>
      <c r="C90" s="77"/>
      <c r="D90" s="60" t="s">
        <v>16</v>
      </c>
      <c r="E90" s="61">
        <v>9912</v>
      </c>
      <c r="F90" s="78">
        <f t="shared" ref="F90" si="16">IF(ISERR(G90/E90)=TRUE,"",G90/E90)</f>
        <v>30000</v>
      </c>
      <c r="G90" s="62">
        <v>297360000</v>
      </c>
      <c r="H90" s="63"/>
    </row>
    <row r="91" spans="1:8" collapsed="1" x14ac:dyDescent="0.3">
      <c r="A91" s="13" t="s">
        <v>105</v>
      </c>
      <c r="B91" s="14" t="s">
        <v>106</v>
      </c>
      <c r="C91" s="79"/>
      <c r="D91" s="13"/>
      <c r="E91" s="16"/>
      <c r="F91" s="17">
        <f>IFERROR(G91/E91,0)</f>
        <v>0</v>
      </c>
      <c r="G91" s="17"/>
      <c r="H91" s="18"/>
    </row>
    <row r="92" spans="1:8" hidden="1" outlineLevel="1" x14ac:dyDescent="0.3">
      <c r="A92" s="80"/>
      <c r="B92" s="81"/>
      <c r="C92" s="81"/>
      <c r="D92" s="82"/>
      <c r="E92" s="54"/>
      <c r="F92" s="46" t="str">
        <f t="shared" ref="F92:F97" si="17">IF(ISERR(G92/E92)=TRUE,"",G92/E92)</f>
        <v/>
      </c>
      <c r="G92" s="55"/>
      <c r="H92" s="56"/>
    </row>
    <row r="93" spans="1:8" hidden="1" outlineLevel="1" x14ac:dyDescent="0.3">
      <c r="A93" s="83"/>
      <c r="B93" s="81"/>
      <c r="C93" s="81"/>
      <c r="D93" s="84"/>
      <c r="E93" s="54"/>
      <c r="F93" s="46" t="str">
        <f t="shared" si="17"/>
        <v/>
      </c>
      <c r="G93" s="55"/>
      <c r="H93" s="56"/>
    </row>
    <row r="94" spans="1:8" s="12" customFormat="1" hidden="1" outlineLevel="1" x14ac:dyDescent="0.3">
      <c r="A94" s="64"/>
      <c r="B94" s="81"/>
      <c r="C94" s="81"/>
      <c r="D94" s="85"/>
      <c r="E94" s="54"/>
      <c r="F94" s="46" t="str">
        <f t="shared" si="17"/>
        <v/>
      </c>
      <c r="G94" s="55"/>
      <c r="H94" s="56"/>
    </row>
    <row r="95" spans="1:8" s="12" customFormat="1" hidden="1" outlineLevel="1" x14ac:dyDescent="0.3">
      <c r="A95" s="64"/>
      <c r="B95" s="81"/>
      <c r="C95" s="81"/>
      <c r="D95" s="85"/>
      <c r="E95" s="54"/>
      <c r="F95" s="46" t="str">
        <f t="shared" si="17"/>
        <v/>
      </c>
      <c r="G95" s="55"/>
      <c r="H95" s="56"/>
    </row>
    <row r="96" spans="1:8" s="12" customFormat="1" hidden="1" outlineLevel="1" x14ac:dyDescent="0.3">
      <c r="A96" s="64"/>
      <c r="B96" s="81"/>
      <c r="C96" s="81"/>
      <c r="D96" s="85"/>
      <c r="E96" s="54"/>
      <c r="F96" s="46" t="str">
        <f t="shared" si="17"/>
        <v/>
      </c>
      <c r="G96" s="55"/>
      <c r="H96" s="56"/>
    </row>
    <row r="97" spans="1:8" s="12" customFormat="1" hidden="1" outlineLevel="1" x14ac:dyDescent="0.3">
      <c r="A97" s="64"/>
      <c r="B97" s="81"/>
      <c r="C97" s="81"/>
      <c r="D97" s="85"/>
      <c r="E97" s="54"/>
      <c r="F97" s="46" t="str">
        <f t="shared" si="17"/>
        <v/>
      </c>
      <c r="G97" s="55"/>
      <c r="H97" s="56"/>
    </row>
    <row r="98" spans="1:8" s="12" customFormat="1" x14ac:dyDescent="0.3">
      <c r="A98" s="80"/>
      <c r="B98" s="81"/>
      <c r="C98" s="81"/>
      <c r="D98" s="82"/>
      <c r="E98" s="86"/>
      <c r="F98" s="87"/>
      <c r="G98" s="88"/>
      <c r="H98" s="89"/>
    </row>
    <row r="99" spans="1:8" collapsed="1" x14ac:dyDescent="0.3">
      <c r="A99" s="13" t="s">
        <v>107</v>
      </c>
      <c r="B99" s="14" t="s">
        <v>108</v>
      </c>
      <c r="C99" s="79"/>
      <c r="D99" s="13"/>
      <c r="E99" s="16">
        <v>9912</v>
      </c>
      <c r="F99" s="17">
        <f>IFERROR(G99/E99,0)</f>
        <v>50000</v>
      </c>
      <c r="G99" s="17">
        <v>495600000</v>
      </c>
      <c r="H99" s="18"/>
    </row>
    <row r="100" spans="1:8" s="95" customFormat="1" hidden="1" outlineLevel="1" x14ac:dyDescent="0.3">
      <c r="A100" s="90"/>
      <c r="B100" s="43"/>
      <c r="C100" s="43"/>
      <c r="D100" s="90"/>
      <c r="E100" s="91"/>
      <c r="F100" s="92" t="str">
        <f t="shared" ref="F100:F116" si="18">IF(ISERR(G100/E100)=TRUE,"",G100/E100)</f>
        <v/>
      </c>
      <c r="G100" s="93"/>
      <c r="H100" s="94"/>
    </row>
    <row r="101" spans="1:8" s="95" customFormat="1" hidden="1" outlineLevel="1" x14ac:dyDescent="0.3">
      <c r="A101" s="42"/>
      <c r="B101" s="49"/>
      <c r="C101" s="49"/>
      <c r="D101" s="42"/>
      <c r="E101" s="96"/>
      <c r="F101" s="97" t="str">
        <f t="shared" si="18"/>
        <v/>
      </c>
      <c r="G101" s="98"/>
      <c r="H101" s="99"/>
    </row>
    <row r="102" spans="1:8" s="95" customFormat="1" hidden="1" outlineLevel="1" x14ac:dyDescent="0.3">
      <c r="A102" s="42"/>
      <c r="B102" s="49"/>
      <c r="C102" s="49"/>
      <c r="D102" s="42"/>
      <c r="E102" s="96"/>
      <c r="F102" s="97" t="str">
        <f t="shared" si="18"/>
        <v/>
      </c>
      <c r="G102" s="98"/>
      <c r="H102" s="99"/>
    </row>
    <row r="103" spans="1:8" s="95" customFormat="1" hidden="1" outlineLevel="1" x14ac:dyDescent="0.3">
      <c r="A103" s="42"/>
      <c r="B103" s="49"/>
      <c r="C103" s="49"/>
      <c r="D103" s="42"/>
      <c r="E103" s="96"/>
      <c r="F103" s="97" t="str">
        <f t="shared" si="18"/>
        <v/>
      </c>
      <c r="G103" s="98"/>
      <c r="H103" s="99"/>
    </row>
    <row r="104" spans="1:8" s="95" customFormat="1" hidden="1" outlineLevel="1" x14ac:dyDescent="0.3">
      <c r="A104" s="42"/>
      <c r="B104" s="49"/>
      <c r="C104" s="49"/>
      <c r="D104" s="42"/>
      <c r="E104" s="96"/>
      <c r="F104" s="97" t="str">
        <f t="shared" si="18"/>
        <v/>
      </c>
      <c r="G104" s="98"/>
      <c r="H104" s="99"/>
    </row>
    <row r="105" spans="1:8" s="95" customFormat="1" hidden="1" outlineLevel="1" x14ac:dyDescent="0.3">
      <c r="A105" s="42"/>
      <c r="B105" s="49"/>
      <c r="C105" s="49"/>
      <c r="D105" s="42"/>
      <c r="E105" s="96"/>
      <c r="F105" s="97" t="str">
        <f t="shared" si="18"/>
        <v/>
      </c>
      <c r="G105" s="98"/>
      <c r="H105" s="99"/>
    </row>
    <row r="106" spans="1:8" s="95" customFormat="1" hidden="1" outlineLevel="1" x14ac:dyDescent="0.3">
      <c r="A106" s="42"/>
      <c r="B106" s="49"/>
      <c r="C106" s="49"/>
      <c r="D106" s="42"/>
      <c r="E106" s="96"/>
      <c r="F106" s="97" t="str">
        <f t="shared" si="18"/>
        <v/>
      </c>
      <c r="G106" s="98"/>
      <c r="H106" s="99"/>
    </row>
    <row r="107" spans="1:8" s="95" customFormat="1" hidden="1" outlineLevel="1" x14ac:dyDescent="0.3">
      <c r="A107" s="42"/>
      <c r="B107" s="49"/>
      <c r="C107" s="49"/>
      <c r="D107" s="42"/>
      <c r="E107" s="96"/>
      <c r="F107" s="97" t="str">
        <f t="shared" si="18"/>
        <v/>
      </c>
      <c r="G107" s="98"/>
      <c r="H107" s="99"/>
    </row>
    <row r="108" spans="1:8" s="95" customFormat="1" hidden="1" outlineLevel="1" x14ac:dyDescent="0.3">
      <c r="A108" s="42"/>
      <c r="B108" s="49"/>
      <c r="C108" s="49"/>
      <c r="D108" s="42"/>
      <c r="E108" s="96"/>
      <c r="F108" s="97" t="str">
        <f t="shared" si="18"/>
        <v/>
      </c>
      <c r="G108" s="98"/>
      <c r="H108" s="99"/>
    </row>
    <row r="109" spans="1:8" s="95" customFormat="1" hidden="1" outlineLevel="1" x14ac:dyDescent="0.3">
      <c r="A109" s="42"/>
      <c r="B109" s="49"/>
      <c r="C109" s="49"/>
      <c r="D109" s="42"/>
      <c r="E109" s="96"/>
      <c r="F109" s="97" t="str">
        <f t="shared" si="18"/>
        <v/>
      </c>
      <c r="G109" s="98"/>
      <c r="H109" s="99"/>
    </row>
    <row r="110" spans="1:8" s="95" customFormat="1" hidden="1" outlineLevel="1" x14ac:dyDescent="0.3">
      <c r="A110" s="42"/>
      <c r="B110" s="49"/>
      <c r="C110" s="49"/>
      <c r="D110" s="42"/>
      <c r="E110" s="96"/>
      <c r="F110" s="97" t="str">
        <f t="shared" si="18"/>
        <v/>
      </c>
      <c r="G110" s="98"/>
      <c r="H110" s="99"/>
    </row>
    <row r="111" spans="1:8" s="95" customFormat="1" hidden="1" outlineLevel="1" x14ac:dyDescent="0.3">
      <c r="A111" s="42"/>
      <c r="B111" s="49"/>
      <c r="C111" s="49"/>
      <c r="D111" s="42"/>
      <c r="E111" s="96"/>
      <c r="F111" s="97" t="str">
        <f t="shared" si="18"/>
        <v/>
      </c>
      <c r="G111" s="98"/>
      <c r="H111" s="99"/>
    </row>
    <row r="112" spans="1:8" s="95" customFormat="1" hidden="1" outlineLevel="1" x14ac:dyDescent="0.3">
      <c r="A112" s="42"/>
      <c r="B112" s="49"/>
      <c r="C112" s="49"/>
      <c r="D112" s="42"/>
      <c r="E112" s="96"/>
      <c r="F112" s="97" t="str">
        <f t="shared" si="18"/>
        <v/>
      </c>
      <c r="G112" s="98"/>
      <c r="H112" s="99"/>
    </row>
    <row r="113" spans="1:8" s="95" customFormat="1" hidden="1" outlineLevel="1" x14ac:dyDescent="0.3">
      <c r="A113" s="42"/>
      <c r="B113" s="49"/>
      <c r="C113" s="49"/>
      <c r="D113" s="42"/>
      <c r="E113" s="96"/>
      <c r="F113" s="97" t="str">
        <f t="shared" si="18"/>
        <v/>
      </c>
      <c r="G113" s="98"/>
      <c r="H113" s="99"/>
    </row>
    <row r="114" spans="1:8" s="95" customFormat="1" hidden="1" outlineLevel="1" x14ac:dyDescent="0.3">
      <c r="A114" s="42"/>
      <c r="B114" s="49"/>
      <c r="C114" s="49"/>
      <c r="D114" s="42"/>
      <c r="E114" s="96"/>
      <c r="F114" s="97" t="str">
        <f t="shared" si="18"/>
        <v/>
      </c>
      <c r="G114" s="98"/>
      <c r="H114" s="99"/>
    </row>
    <row r="115" spans="1:8" s="24" customFormat="1" hidden="1" outlineLevel="1" x14ac:dyDescent="0.3">
      <c r="A115" s="42"/>
      <c r="B115" s="49"/>
      <c r="C115" s="49"/>
      <c r="D115" s="42"/>
      <c r="E115" s="96"/>
      <c r="F115" s="98" t="str">
        <f t="shared" si="18"/>
        <v/>
      </c>
      <c r="G115" s="98"/>
      <c r="H115" s="99"/>
    </row>
    <row r="116" spans="1:8" s="24" customFormat="1" hidden="1" outlineLevel="1" x14ac:dyDescent="0.3">
      <c r="A116" s="42"/>
      <c r="B116" s="49"/>
      <c r="C116" s="49"/>
      <c r="D116" s="42"/>
      <c r="E116" s="96"/>
      <c r="F116" s="98" t="str">
        <f t="shared" si="18"/>
        <v/>
      </c>
      <c r="G116" s="98"/>
      <c r="H116" s="99"/>
    </row>
    <row r="117" spans="1:8" s="102" customFormat="1" x14ac:dyDescent="0.3">
      <c r="A117" s="30"/>
      <c r="B117" s="31"/>
      <c r="C117" s="100"/>
      <c r="D117" s="30"/>
      <c r="E117" s="32"/>
      <c r="F117" s="101"/>
      <c r="G117" s="33"/>
      <c r="H117" s="34"/>
    </row>
    <row r="118" spans="1:8" s="12" customFormat="1" x14ac:dyDescent="0.3">
      <c r="A118" s="13" t="s">
        <v>109</v>
      </c>
      <c r="B118" s="14" t="s">
        <v>110</v>
      </c>
      <c r="C118" s="79"/>
      <c r="D118" s="13"/>
      <c r="E118" s="16">
        <v>12156</v>
      </c>
      <c r="F118" s="17">
        <f>IFERROR(G118/E118,0)</f>
        <v>100000</v>
      </c>
      <c r="G118" s="17">
        <v>1215600000</v>
      </c>
      <c r="H118" s="103"/>
    </row>
    <row r="119" spans="1:8" s="12" customFormat="1" x14ac:dyDescent="0.3">
      <c r="A119" s="104"/>
      <c r="B119" s="105"/>
      <c r="C119" s="106"/>
      <c r="D119" s="104"/>
      <c r="E119" s="107"/>
      <c r="F119" s="108"/>
      <c r="G119" s="108"/>
      <c r="H119" s="109"/>
    </row>
    <row r="120" spans="1:8" s="12" customFormat="1" x14ac:dyDescent="0.3">
      <c r="A120" s="13" t="s">
        <v>111</v>
      </c>
      <c r="B120" s="14" t="s">
        <v>112</v>
      </c>
      <c r="C120" s="79"/>
      <c r="D120" s="110"/>
      <c r="E120" s="16"/>
      <c r="F120" s="17"/>
      <c r="G120" s="17">
        <f>SUBTOTAL(9,G121:G127)</f>
        <v>6116214300</v>
      </c>
      <c r="H120" s="18"/>
    </row>
    <row r="121" spans="1:8" s="111" customFormat="1" x14ac:dyDescent="0.3">
      <c r="A121" s="35">
        <v>1</v>
      </c>
      <c r="B121" s="36" t="s">
        <v>113</v>
      </c>
      <c r="C121" s="58"/>
      <c r="D121" s="37"/>
      <c r="E121" s="39"/>
      <c r="F121" s="51"/>
      <c r="G121" s="39">
        <f>SUBTOTAL(9,G122:G122)</f>
        <v>3669728580</v>
      </c>
      <c r="H121" s="41"/>
    </row>
    <row r="122" spans="1:8" s="111" customFormat="1" outlineLevel="1" x14ac:dyDescent="0.3">
      <c r="A122" s="85"/>
      <c r="B122" s="112" t="s">
        <v>114</v>
      </c>
      <c r="C122" s="112"/>
      <c r="D122" s="113"/>
      <c r="E122" s="114"/>
      <c r="F122" s="115">
        <f>cpcty</f>
        <v>0.09</v>
      </c>
      <c r="G122" s="116">
        <f>F122*$G$5</f>
        <v>3669728580</v>
      </c>
      <c r="H122" s="117"/>
    </row>
    <row r="123" spans="1:8" s="111" customFormat="1" x14ac:dyDescent="0.3">
      <c r="A123" s="35">
        <v>2</v>
      </c>
      <c r="B123" s="36" t="s">
        <v>115</v>
      </c>
      <c r="C123" s="58"/>
      <c r="D123" s="37"/>
      <c r="E123" s="39"/>
      <c r="F123" s="51"/>
      <c r="G123" s="39">
        <f>SUBTOTAL(9,G124:G127)</f>
        <v>2446485720</v>
      </c>
      <c r="H123" s="41"/>
    </row>
    <row r="124" spans="1:8" s="123" customFormat="1" outlineLevel="1" x14ac:dyDescent="0.3">
      <c r="A124" s="90"/>
      <c r="B124" s="43" t="s">
        <v>116</v>
      </c>
      <c r="C124" s="118"/>
      <c r="D124" s="119"/>
      <c r="E124" s="93"/>
      <c r="F124" s="120">
        <f>dpp</f>
        <v>0.01</v>
      </c>
      <c r="G124" s="121">
        <f>F124*$G$5</f>
        <v>407747620</v>
      </c>
      <c r="H124" s="122"/>
    </row>
    <row r="125" spans="1:8" s="123" customFormat="1" outlineLevel="1" x14ac:dyDescent="0.3">
      <c r="A125" s="42"/>
      <c r="B125" s="49" t="s">
        <v>117</v>
      </c>
      <c r="C125" s="124"/>
      <c r="D125" s="125"/>
      <c r="E125" s="98"/>
      <c r="F125" s="126">
        <f>dpbh</f>
        <v>0.05</v>
      </c>
      <c r="G125" s="121">
        <f>F125*$G$5</f>
        <v>2038738100</v>
      </c>
      <c r="H125" s="122"/>
    </row>
    <row r="126" spans="1:8" s="123" customFormat="1" outlineLevel="1" x14ac:dyDescent="0.3">
      <c r="A126" s="42"/>
      <c r="B126" s="49" t="s">
        <v>118</v>
      </c>
      <c r="C126" s="124"/>
      <c r="D126" s="125"/>
      <c r="E126" s="98"/>
      <c r="F126" s="120">
        <f>cpk</f>
        <v>0</v>
      </c>
      <c r="G126" s="121">
        <f>F126*$G$5</f>
        <v>0</v>
      </c>
      <c r="H126" s="122"/>
    </row>
    <row r="127" spans="1:8" s="123" customFormat="1" x14ac:dyDescent="0.3">
      <c r="A127" s="42"/>
      <c r="B127" s="127"/>
      <c r="C127" s="100"/>
      <c r="D127" s="125"/>
      <c r="E127" s="98"/>
      <c r="F127" s="128"/>
      <c r="G127" s="129"/>
      <c r="H127" s="130"/>
    </row>
    <row r="128" spans="1:8" ht="18" customHeight="1" collapsed="1" x14ac:dyDescent="0.3">
      <c r="A128" s="13" t="s">
        <v>119</v>
      </c>
      <c r="B128" s="14" t="s">
        <v>120</v>
      </c>
      <c r="C128" s="79"/>
      <c r="D128" s="131"/>
      <c r="E128" s="17"/>
      <c r="F128" s="13"/>
      <c r="G128" s="17">
        <f>G5-G9</f>
        <v>9763130207.393631</v>
      </c>
      <c r="H128" s="132">
        <f>G128/G129</f>
        <v>0.23944051978509723</v>
      </c>
    </row>
    <row r="129" spans="1:8" x14ac:dyDescent="0.3">
      <c r="A129" s="64"/>
      <c r="B129" s="133" t="s">
        <v>121</v>
      </c>
      <c r="C129" s="134"/>
      <c r="D129" s="135"/>
      <c r="E129" s="136"/>
      <c r="F129" s="64"/>
      <c r="G129" s="137">
        <f>G5</f>
        <v>40774762000</v>
      </c>
      <c r="H129" s="138"/>
    </row>
    <row r="130" spans="1:8" x14ac:dyDescent="0.3">
      <c r="A130" s="64"/>
      <c r="B130" s="81" t="s">
        <v>122</v>
      </c>
      <c r="C130" s="50"/>
      <c r="D130" s="135"/>
      <c r="E130" s="136"/>
      <c r="F130" s="64"/>
      <c r="G130" s="137">
        <f>G9</f>
        <v>31011631792.606369</v>
      </c>
      <c r="H130" s="138"/>
    </row>
    <row r="131" spans="1:8" x14ac:dyDescent="0.3">
      <c r="A131" s="64"/>
      <c r="B131" s="81" t="s">
        <v>123</v>
      </c>
      <c r="C131" s="139"/>
      <c r="D131" s="135"/>
      <c r="E131" s="140"/>
      <c r="F131" s="126">
        <v>0.2</v>
      </c>
      <c r="G131" s="141">
        <f>F131*(G129-G130)</f>
        <v>1952626041.4787264</v>
      </c>
      <c r="H131" s="138"/>
    </row>
    <row r="132" spans="1:8" x14ac:dyDescent="0.3">
      <c r="A132" s="85"/>
      <c r="B132" s="81" t="s">
        <v>124</v>
      </c>
      <c r="C132" s="139"/>
      <c r="D132" s="142"/>
      <c r="E132" s="140"/>
      <c r="F132" s="64"/>
      <c r="G132" s="143">
        <f>G129-G130-G131</f>
        <v>7810504165.9149046</v>
      </c>
      <c r="H132" s="144"/>
    </row>
    <row r="133" spans="1:8" x14ac:dyDescent="0.3">
      <c r="A133" s="145"/>
      <c r="B133" s="146" t="s">
        <v>125</v>
      </c>
      <c r="C133" s="147"/>
      <c r="D133" s="148"/>
      <c r="E133" s="149"/>
      <c r="F133" s="150"/>
      <c r="G133" s="151">
        <f>IFERROR(G132/G129,0)</f>
        <v>0.19155241582807778</v>
      </c>
      <c r="H133" s="152"/>
    </row>
    <row r="134" spans="1:8" s="160" customFormat="1" x14ac:dyDescent="0.3">
      <c r="A134" s="153"/>
      <c r="B134" s="154"/>
      <c r="C134" s="155"/>
      <c r="D134" s="156"/>
      <c r="E134" s="157"/>
      <c r="F134" s="158"/>
      <c r="G134" s="157"/>
      <c r="H134" s="159"/>
    </row>
    <row r="135" spans="1:8" s="160" customFormat="1" ht="33" customHeight="1" x14ac:dyDescent="0.3">
      <c r="A135" s="161" t="s">
        <v>126</v>
      </c>
      <c r="B135" s="161"/>
      <c r="C135" s="161"/>
      <c r="D135" s="161" t="s">
        <v>127</v>
      </c>
      <c r="E135" s="161"/>
      <c r="F135" s="161"/>
      <c r="G135" s="161"/>
      <c r="H135" s="161"/>
    </row>
    <row r="136" spans="1:8" s="160" customFormat="1" x14ac:dyDescent="0.3">
      <c r="A136" s="153"/>
      <c r="B136" s="154"/>
      <c r="C136" s="12"/>
      <c r="D136" s="12"/>
      <c r="E136" s="157"/>
      <c r="F136" s="12"/>
      <c r="G136" s="162"/>
      <c r="H136" s="162"/>
    </row>
    <row r="137" spans="1:8" s="160" customFormat="1" x14ac:dyDescent="0.3">
      <c r="A137" s="153"/>
      <c r="B137" s="154"/>
      <c r="C137" s="12"/>
      <c r="D137" s="12"/>
      <c r="E137" s="157"/>
      <c r="F137" s="12"/>
      <c r="G137" s="157"/>
      <c r="H137" s="157"/>
    </row>
    <row r="138" spans="1:8" x14ac:dyDescent="0.3">
      <c r="C138" s="12"/>
      <c r="D138" s="12"/>
      <c r="F138" s="12"/>
      <c r="G138" s="162"/>
      <c r="H138" s="162"/>
    </row>
    <row r="139" spans="1:8" s="160" customFormat="1" x14ac:dyDescent="0.3">
      <c r="A139" s="153"/>
      <c r="B139" s="154"/>
      <c r="C139" s="12"/>
      <c r="D139" s="12"/>
      <c r="F139" s="12"/>
    </row>
    <row r="140" spans="1:8" s="160" customFormat="1" x14ac:dyDescent="0.3">
      <c r="A140" s="163"/>
      <c r="B140" s="163"/>
      <c r="C140" s="163"/>
      <c r="D140" s="161" t="s">
        <v>128</v>
      </c>
      <c r="E140" s="161"/>
      <c r="F140" s="161"/>
      <c r="G140" s="161"/>
      <c r="H140" s="161"/>
    </row>
  </sheetData>
  <mergeCells count="76">
    <mergeCell ref="A135:C135"/>
    <mergeCell ref="D135:H135"/>
    <mergeCell ref="A140:C140"/>
    <mergeCell ref="D140:H140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65:C65"/>
    <mergeCell ref="B81:C81"/>
    <mergeCell ref="B84:C84"/>
    <mergeCell ref="B89:C89"/>
    <mergeCell ref="B90:C90"/>
    <mergeCell ref="B91:C91"/>
    <mergeCell ref="B20:C20"/>
    <mergeCell ref="B21:C21"/>
    <mergeCell ref="B22:C22"/>
    <mergeCell ref="B23:C23"/>
    <mergeCell ref="B24:C24"/>
    <mergeCell ref="B58:C58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A1:H1"/>
    <mergeCell ref="A2:H2"/>
    <mergeCell ref="A3:H3"/>
    <mergeCell ref="B5:C5"/>
    <mergeCell ref="B6:C6"/>
    <mergeCell ref="B7:C7"/>
  </mergeCells>
  <pageMargins left="0.70866141732283505" right="0.70866141732283505" top="0.74803149606299202" bottom="0.74803149606299202" header="0.31496062992126" footer="0.31496062992126"/>
  <pageSetup paperSize="9" scale="60" fitToHeight="0" orientation="portrait" r:id="rId1"/>
  <headerFooter>
    <oddFooter>&amp;CNOVA E&amp;&amp;C JOINT STOCK COMPANY
673 Dien Bien Phu Street, Ward 25, Binh Thanh District, Ho Chi Minh City&amp;R&amp;P/&amp;N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98A9-ED09-4D17-891E-ECBA04CB23CE}">
  <sheetPr codeName="Sheet5">
    <tabColor rgb="FF7030A0"/>
    <outlinePr summaryBelow="0" summaryRight="0"/>
    <pageSetUpPr fitToPage="1"/>
  </sheetPr>
  <dimension ref="A1:R66"/>
  <sheetViews>
    <sheetView showGridLines="0" view="pageBreakPreview" zoomScale="70" zoomScaleSheetLayoutView="70" workbookViewId="0">
      <pane ySplit="8" topLeftCell="A9" activePane="bottomLeft" state="frozen"/>
      <selection activeCell="F131" sqref="F131"/>
      <selection pane="bottomLeft" activeCell="O11" sqref="O11"/>
    </sheetView>
  </sheetViews>
  <sheetFormatPr defaultColWidth="9" defaultRowHeight="13.8" outlineLevelRow="1" x14ac:dyDescent="0.25"/>
  <cols>
    <col min="1" max="1" width="8.109375" style="235" customWidth="1"/>
    <col min="2" max="2" width="59.44140625" style="236" customWidth="1"/>
    <col min="3" max="3" width="16.109375" style="165" bestFit="1" customWidth="1"/>
    <col min="4" max="4" width="13.109375" style="165" customWidth="1"/>
    <col min="5" max="5" width="12.44140625" style="165" customWidth="1"/>
    <col min="6" max="6" width="6.109375" style="165" customWidth="1"/>
    <col min="7" max="7" width="16" style="165" customWidth="1"/>
    <col min="8" max="8" width="20.6640625" style="165" bestFit="1" customWidth="1"/>
    <col min="9" max="9" width="19.6640625" style="237" customWidth="1"/>
    <col min="10" max="10" width="28.5546875" style="165" customWidth="1"/>
    <col min="11" max="11" width="48.109375" style="165" customWidth="1"/>
    <col min="12" max="12" width="12.44140625" style="165" customWidth="1"/>
    <col min="13" max="16384" width="9" style="165"/>
  </cols>
  <sheetData>
    <row r="1" spans="1:18" ht="36.75" customHeight="1" x14ac:dyDescent="0.25">
      <c r="A1" s="164" t="s">
        <v>129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8" ht="32.25" customHeight="1" x14ac:dyDescent="0.25">
      <c r="A2" s="166" t="s">
        <v>130</v>
      </c>
      <c r="B2" s="166"/>
      <c r="C2" s="166"/>
      <c r="D2" s="166"/>
      <c r="E2" s="166"/>
      <c r="F2" s="166"/>
      <c r="G2" s="166"/>
      <c r="H2" s="166"/>
      <c r="I2" s="166"/>
      <c r="J2" s="166"/>
    </row>
    <row r="3" spans="1:18" ht="24.75" customHeight="1" thickBot="1" x14ac:dyDescent="0.3">
      <c r="A3" s="167" t="s">
        <v>131</v>
      </c>
      <c r="B3" s="167"/>
      <c r="C3" s="167"/>
      <c r="D3" s="167"/>
      <c r="E3" s="167"/>
      <c r="F3" s="167"/>
      <c r="G3" s="167"/>
      <c r="H3" s="167"/>
      <c r="I3" s="167"/>
      <c r="J3" s="167"/>
      <c r="K3" s="168"/>
      <c r="L3" s="169"/>
      <c r="M3" s="169"/>
      <c r="N3" s="169"/>
      <c r="O3" s="169"/>
      <c r="P3" s="169"/>
      <c r="Q3" s="169"/>
      <c r="R3" s="169"/>
    </row>
    <row r="4" spans="1:18" ht="22.8" x14ac:dyDescent="0.25">
      <c r="A4" s="170"/>
      <c r="B4" s="171"/>
      <c r="C4" s="172"/>
      <c r="D4" s="172"/>
      <c r="E4" s="172"/>
      <c r="F4" s="172"/>
      <c r="G4" s="172"/>
      <c r="H4" s="172"/>
      <c r="I4" s="173"/>
      <c r="J4" s="172"/>
    </row>
    <row r="5" spans="1:18" ht="17.399999999999999" x14ac:dyDescent="0.25">
      <c r="A5" s="174" t="s">
        <v>132</v>
      </c>
      <c r="B5" s="175"/>
      <c r="C5" s="176"/>
      <c r="D5" s="176"/>
      <c r="E5" s="177"/>
      <c r="F5" s="177"/>
      <c r="G5" s="178"/>
      <c r="H5" s="179" t="s">
        <v>133</v>
      </c>
      <c r="I5" s="180" t="s">
        <v>134</v>
      </c>
      <c r="J5" s="181" t="s">
        <v>135</v>
      </c>
    </row>
    <row r="6" spans="1:18" ht="17.399999999999999" x14ac:dyDescent="0.25">
      <c r="A6" s="182"/>
      <c r="B6" s="183"/>
      <c r="C6" s="176"/>
      <c r="D6" s="176"/>
      <c r="E6" s="177"/>
      <c r="F6" s="177"/>
      <c r="G6" s="178"/>
      <c r="H6" s="184" t="str">
        <f>[1]SUMMARY!$B$3</f>
        <v>GD-CT/2022_05.01</v>
      </c>
      <c r="I6" s="185" t="s">
        <v>136</v>
      </c>
      <c r="J6" s="186">
        <f ca="1">TODAY()</f>
        <v>45842</v>
      </c>
    </row>
    <row r="7" spans="1:18" ht="15.6" x14ac:dyDescent="0.25">
      <c r="A7" s="187"/>
      <c r="B7" s="188"/>
      <c r="C7" s="189"/>
      <c r="D7" s="190"/>
      <c r="E7" s="190"/>
      <c r="F7" s="190"/>
      <c r="G7" s="190"/>
      <c r="H7" s="153"/>
      <c r="I7" s="191"/>
      <c r="J7" s="192"/>
    </row>
    <row r="8" spans="1:18" s="196" customFormat="1" ht="34.799999999999997" x14ac:dyDescent="0.25">
      <c r="A8" s="193" t="s">
        <v>1</v>
      </c>
      <c r="B8" s="193" t="s">
        <v>137</v>
      </c>
      <c r="C8" s="193" t="s">
        <v>138</v>
      </c>
      <c r="D8" s="193" t="s">
        <v>139</v>
      </c>
      <c r="E8" s="193" t="s">
        <v>140</v>
      </c>
      <c r="F8" s="193" t="s">
        <v>141</v>
      </c>
      <c r="G8" s="193" t="s">
        <v>142</v>
      </c>
      <c r="H8" s="194" t="s">
        <v>143</v>
      </c>
      <c r="I8" s="195" t="s">
        <v>144</v>
      </c>
      <c r="J8" s="194" t="s">
        <v>145</v>
      </c>
    </row>
    <row r="9" spans="1:18" ht="17.399999999999999" x14ac:dyDescent="0.25">
      <c r="A9" s="197" t="s">
        <v>9</v>
      </c>
      <c r="B9" s="198" t="s">
        <v>146</v>
      </c>
      <c r="C9" s="199"/>
      <c r="D9" s="200"/>
      <c r="E9" s="200"/>
      <c r="F9" s="199"/>
      <c r="G9" s="201"/>
      <c r="H9" s="202">
        <f>SUBTOTAL(9,H10:H13)</f>
        <v>528</v>
      </c>
      <c r="I9" s="203"/>
      <c r="J9" s="203">
        <f>SUBTOTAL(9,J10:J13)</f>
        <v>1800384000</v>
      </c>
    </row>
    <row r="10" spans="1:18" ht="72" outlineLevel="1" x14ac:dyDescent="0.25">
      <c r="A10" s="204">
        <f>IFERROR(A9*1,0)+1</f>
        <v>1</v>
      </c>
      <c r="B10" s="205" t="str">
        <f>'CSL-50.01'!G3&amp;CHAR(10)&amp;'CSL-50.01'!G4&amp;CHAR(10)&amp;'CSL-50.01'!G5&amp;CHAR(10)&amp;'CSL-50.01'!G6</f>
        <v>Cửa sổ lùa 2 cánh
- Nhôm hệ Nova 50
- Kính trắng cường lực dày 8mm
- Phụ kiện bánh xe đôi, khóa âm đồng bộ Draho</v>
      </c>
      <c r="C10" s="206" t="s">
        <v>147</v>
      </c>
      <c r="D10" s="207">
        <f>'CSL-50.01'!C6</f>
        <v>1.2</v>
      </c>
      <c r="E10" s="207">
        <f>'CSL-50.01'!C7</f>
        <v>0.6</v>
      </c>
      <c r="F10" s="206" t="s">
        <v>16</v>
      </c>
      <c r="G10" s="208">
        <f>'CSL-50.01'!F7</f>
        <v>100</v>
      </c>
      <c r="H10" s="209">
        <f>D10*E10*G10</f>
        <v>72</v>
      </c>
      <c r="I10" s="210">
        <f>'CSL-50.01'!F4</f>
        <v>4103000</v>
      </c>
      <c r="J10" s="210">
        <f>H10*I10</f>
        <v>295416000</v>
      </c>
    </row>
    <row r="11" spans="1:18" ht="72" outlineLevel="1" x14ac:dyDescent="0.25">
      <c r="A11" s="204">
        <f>IFERROR(A10*1,0)+1</f>
        <v>2</v>
      </c>
      <c r="B11" s="205" t="str">
        <f>'CSL-50.02'!G3&amp;CHAR(10)&amp;'CSL-50.02'!G4&amp;CHAR(10)&amp;'CSL-50.02'!G5&amp;CHAR(10)&amp;'CSL-50.02'!G6</f>
        <v>Cửa sổ lùa 2 cánh + ô kính cố định
- Nhôm hệ Nova 50
- Kính trắng cường lực dày 8mm
- Phụ kiện bánh xe đôi, khóa âm đồng bộ Draho</v>
      </c>
      <c r="C11" s="206" t="s">
        <v>148</v>
      </c>
      <c r="D11" s="207">
        <f>'CSL-50.02'!C6</f>
        <v>1.2</v>
      </c>
      <c r="E11" s="207">
        <f>'CSL-50.02'!C7</f>
        <v>1.1000000000000001</v>
      </c>
      <c r="F11" s="206" t="s">
        <v>16</v>
      </c>
      <c r="G11" s="208">
        <f>'CSL-50.02'!F7</f>
        <v>100</v>
      </c>
      <c r="H11" s="209">
        <f>D11*E11*G11</f>
        <v>132</v>
      </c>
      <c r="I11" s="210">
        <f>'CSL-50.02'!F4</f>
        <v>3409000</v>
      </c>
      <c r="J11" s="210">
        <f>H11*I11</f>
        <v>449988000</v>
      </c>
      <c r="K11" s="211"/>
    </row>
    <row r="12" spans="1:18" ht="72" outlineLevel="1" x14ac:dyDescent="0.25">
      <c r="A12" s="204">
        <f>IFERROR(A11*1,0)+1</f>
        <v>3</v>
      </c>
      <c r="B12" s="205" t="str">
        <f>'CSL-50.03'!G3&amp;CHAR(10)&amp;'CSL-50.03'!G4&amp;CHAR(10)&amp;'CSL-50.03'!G5&amp;CHAR(10)&amp;'CSL-50.03'!G6</f>
        <v>Cửa sổ lùa 2 cánh + ô kính cố định
- Nhôm hệ Nova 50
- Kính trắng cường lực dày 8mm
- Phụ kiện bánh xe đôi, khóa âm đồng bộ Draho</v>
      </c>
      <c r="C12" s="206" t="s">
        <v>149</v>
      </c>
      <c r="D12" s="207">
        <f>'CSL-50.03'!C6</f>
        <v>1.2</v>
      </c>
      <c r="E12" s="207">
        <f>'CSL-50.03'!C7</f>
        <v>1.1000000000000001</v>
      </c>
      <c r="F12" s="206" t="s">
        <v>16</v>
      </c>
      <c r="G12" s="208">
        <f>'CSL-50.03'!F7</f>
        <v>100</v>
      </c>
      <c r="H12" s="209">
        <f>D12*E12*G12</f>
        <v>132</v>
      </c>
      <c r="I12" s="210">
        <f>'CSL-50.03'!F4</f>
        <v>3409000</v>
      </c>
      <c r="J12" s="210">
        <f>H12*I12</f>
        <v>449988000</v>
      </c>
    </row>
    <row r="13" spans="1:18" ht="72" outlineLevel="1" x14ac:dyDescent="0.25">
      <c r="A13" s="204">
        <f>IFERROR(A12*1,0)+1</f>
        <v>4</v>
      </c>
      <c r="B13" s="205" t="str">
        <f>'[1]CSL-50.04'!G3&amp;CHAR(10)&amp;'[1]CSL-50.04'!G4&amp;CHAR(10)&amp;'[1]CSL-50.04'!G5&amp;CHAR(10)&amp;'[1]CSL-50.04'!G6</f>
        <v>Cửa sổ lùa 2 cánh + ô kính cố định
- Nhôm hệ Nova 50
- Kính trắng cường lực dày 8mm
- Phụ kiện bánh xe đôi, khóa âm đồng bộ Draho</v>
      </c>
      <c r="C13" s="206" t="s">
        <v>150</v>
      </c>
      <c r="D13" s="207">
        <f>'[1]CSL-50.04'!C6</f>
        <v>1.2</v>
      </c>
      <c r="E13" s="207">
        <f>'[1]CSL-50.04'!C7</f>
        <v>1.6</v>
      </c>
      <c r="F13" s="206" t="s">
        <v>16</v>
      </c>
      <c r="G13" s="208">
        <f>'[1]CSL-50.04'!F7</f>
        <v>100</v>
      </c>
      <c r="H13" s="209">
        <f>D13*E13*G13</f>
        <v>192</v>
      </c>
      <c r="I13" s="210">
        <f>'[1]CSL-50.04'!F4</f>
        <v>3151000</v>
      </c>
      <c r="J13" s="210">
        <f>H13*I13</f>
        <v>604992000</v>
      </c>
    </row>
    <row r="14" spans="1:18" ht="17.399999999999999" x14ac:dyDescent="0.25">
      <c r="A14" s="197" t="s">
        <v>11</v>
      </c>
      <c r="B14" s="198" t="s">
        <v>151</v>
      </c>
      <c r="C14" s="199"/>
      <c r="D14" s="200"/>
      <c r="E14" s="200"/>
      <c r="F14" s="199"/>
      <c r="G14" s="201"/>
      <c r="H14" s="202">
        <f>SUBTOTAL(9,H15:H18)</f>
        <v>2268.0000000000005</v>
      </c>
      <c r="I14" s="203"/>
      <c r="J14" s="203">
        <f>SUBTOTAL(9,J15:J18)</f>
        <v>6805116000.000001</v>
      </c>
    </row>
    <row r="15" spans="1:18" ht="72" outlineLevel="1" x14ac:dyDescent="0.25">
      <c r="A15" s="204">
        <f>IFERROR(A14*1,0)+1</f>
        <v>1</v>
      </c>
      <c r="B15" s="205" t="str">
        <f>'[1]CDL-65.01'!G3&amp;CHAR(10)&amp;'[1]CDL-65.01'!G4&amp;CHAR(10)&amp;'[1]CDL-65.01'!G5&amp;CHAR(10)&amp;'[1]CDL-65.01'!G6</f>
        <v>Cửa đi lùa 2 cánh
- Nhôm hệ Nova 65
- Kính trắng cường lực dày 10mm
- Phụ kiện bánh xe đôi, tay nắm chữ D đồng bộ Draho</v>
      </c>
      <c r="C15" s="206" t="s">
        <v>152</v>
      </c>
      <c r="D15" s="207">
        <f>'[1]CDL-65.01'!C6</f>
        <v>1.8</v>
      </c>
      <c r="E15" s="207">
        <f>'[1]CDL-65.01'!C7</f>
        <v>2.2000000000000002</v>
      </c>
      <c r="F15" s="206" t="s">
        <v>16</v>
      </c>
      <c r="G15" s="208">
        <f>'[1]CDL-65.01'!F7</f>
        <v>100</v>
      </c>
      <c r="H15" s="209">
        <f>D15*E15*G15</f>
        <v>396.00000000000006</v>
      </c>
      <c r="I15" s="210">
        <f>'[1]CDL-65.01'!F4</f>
        <v>3029000</v>
      </c>
      <c r="J15" s="210">
        <f>H15*I15</f>
        <v>1199484000.0000002</v>
      </c>
    </row>
    <row r="16" spans="1:18" ht="72" outlineLevel="1" x14ac:dyDescent="0.25">
      <c r="A16" s="204">
        <f>IFERROR(A15*1,0)+1</f>
        <v>2</v>
      </c>
      <c r="B16" s="205" t="str">
        <f>'[1]CDL-65.02'!G3&amp;CHAR(10)&amp;'[1]CDL-65.02'!G4&amp;CHAR(10)&amp;'[1]CDL-65.02'!G5&amp;CHAR(10)&amp;'[1]CDL-65.02'!G6</f>
        <v>Cửa đi lùa 2 cánh + ô kính cố định
- Nhôm hệ Nova 65
- Kính trắng cường lực dày 10mm
- Phụ kiện bánh xe đôi, tay nắm chữ D đồng bộ Draho</v>
      </c>
      <c r="C16" s="206" t="s">
        <v>153</v>
      </c>
      <c r="D16" s="207">
        <f>'[1]CDL-65.02'!C6</f>
        <v>1.8</v>
      </c>
      <c r="E16" s="207">
        <f>'[1]CDL-65.02'!C7</f>
        <v>2.7</v>
      </c>
      <c r="F16" s="206" t="s">
        <v>16</v>
      </c>
      <c r="G16" s="208">
        <f>'[1]CDL-65.02'!F7</f>
        <v>100</v>
      </c>
      <c r="H16" s="209">
        <f>D16*E16*G16</f>
        <v>486.00000000000006</v>
      </c>
      <c r="I16" s="210">
        <f>'[1]CDL-65.02'!F4</f>
        <v>2964000</v>
      </c>
      <c r="J16" s="210">
        <f>H16*I16</f>
        <v>1440504000.0000002</v>
      </c>
    </row>
    <row r="17" spans="1:10" ht="72" outlineLevel="1" x14ac:dyDescent="0.25">
      <c r="A17" s="204">
        <f>IFERROR(A16*1,0)+1</f>
        <v>3</v>
      </c>
      <c r="B17" s="205" t="str">
        <f>'[1]CDL-65.03'!G3&amp;CHAR(10)&amp;'[1]CDL-65.03'!G4&amp;CHAR(10)&amp;'[1]CDL-65.03'!G5&amp;CHAR(10)&amp;'[1]CDL-65.03'!G6</f>
        <v>Cửa đi lùa 4 cánh (2 ray)
- Nhôm hệ Nova 65
- Kính trắng cường lực dày 10mm
- Phụ kiện bánh xe đôi, tay nắm chữ D đồng bộ Draho</v>
      </c>
      <c r="C17" s="206" t="s">
        <v>154</v>
      </c>
      <c r="D17" s="207">
        <f>'[1]CDL-65.03'!C6</f>
        <v>3.6</v>
      </c>
      <c r="E17" s="207">
        <f>'[1]CDL-65.03'!C7</f>
        <v>2.2000000000000002</v>
      </c>
      <c r="F17" s="206" t="s">
        <v>16</v>
      </c>
      <c r="G17" s="208">
        <f>'[1]CDL-65.03'!F7</f>
        <v>100</v>
      </c>
      <c r="H17" s="209">
        <f>D17*E17*G17</f>
        <v>792.00000000000011</v>
      </c>
      <c r="I17" s="210">
        <f>'[1]CDL-65.03'!F4</f>
        <v>2904000</v>
      </c>
      <c r="J17" s="210">
        <f>H17*I17</f>
        <v>2299968000.0000005</v>
      </c>
    </row>
    <row r="18" spans="1:10" ht="72" outlineLevel="1" x14ac:dyDescent="0.25">
      <c r="A18" s="204">
        <f>IFERROR(A17*1,0)+1</f>
        <v>4</v>
      </c>
      <c r="B18" s="205" t="str">
        <f>'[1]CDL-65.04'!G3&amp;CHAR(10)&amp;'[1]CDL-65.04'!G4&amp;CHAR(10)&amp;'[1]CDL-65.04'!G5&amp;CHAR(10)&amp;'[1]CDL-65.04'!G6</f>
        <v>Cửa đi lùa 3 cánh (3 ray)
- Nhôm hệ Nova 65
- Kính trắng cường lực dày 10mm
- Phụ kiện bánh xe đôi, tay nắm chữ D đồng bộ Draho</v>
      </c>
      <c r="C18" s="206" t="s">
        <v>155</v>
      </c>
      <c r="D18" s="207">
        <f>'[1]CDL-65.04'!C6</f>
        <v>2.7</v>
      </c>
      <c r="E18" s="207">
        <f>'[1]CDL-65.04'!C7</f>
        <v>2.2000000000000002</v>
      </c>
      <c r="F18" s="206" t="s">
        <v>16</v>
      </c>
      <c r="G18" s="208">
        <f>'[1]CDL-65.04'!F7</f>
        <v>100</v>
      </c>
      <c r="H18" s="209">
        <f>D18*E18*G18</f>
        <v>594.00000000000011</v>
      </c>
      <c r="I18" s="210">
        <f>'[1]CDL-65.04'!F4</f>
        <v>3140000</v>
      </c>
      <c r="J18" s="210">
        <f>H18*I18</f>
        <v>1865160000.0000002</v>
      </c>
    </row>
    <row r="19" spans="1:10" ht="17.399999999999999" x14ac:dyDescent="0.25">
      <c r="A19" s="197" t="s">
        <v>156</v>
      </c>
      <c r="B19" s="198" t="s">
        <v>157</v>
      </c>
      <c r="C19" s="199"/>
      <c r="D19" s="200"/>
      <c r="E19" s="200"/>
      <c r="F19" s="199"/>
      <c r="G19" s="201"/>
      <c r="H19" s="202">
        <f>SUBTOTAL(9,H20:H43)</f>
        <v>7116</v>
      </c>
      <c r="I19" s="203"/>
      <c r="J19" s="203">
        <f>SUBTOTAL(9,J20:J43)</f>
        <v>24044508000</v>
      </c>
    </row>
    <row r="20" spans="1:10" ht="72" outlineLevel="1" x14ac:dyDescent="0.25">
      <c r="A20" s="204">
        <f t="shared" ref="A20:A43" si="0">IFERROR(A19*1,0)+1</f>
        <v>1</v>
      </c>
      <c r="B20" s="205" t="str">
        <f>'[1]CSB-50.01'!G3&amp;CHAR(10)&amp;'[1]CSB-50.01'!G4&amp;CHAR(10)&amp;'[1]CSB-50.01'!G5&amp;CHAR(10)&amp;'[1]CSB-50.01'!G6</f>
        <v>Cửa sổ bật 1 cánh
- Nhôm hệ Nova 50
- Kính trắng cường lực dày 8mm
- Phụ kiện tay nắm, bản lề chữ A đồng bộ Draho</v>
      </c>
      <c r="C20" s="206" t="s">
        <v>158</v>
      </c>
      <c r="D20" s="207">
        <f>'[1]CSB-50.01'!C6</f>
        <v>0.8</v>
      </c>
      <c r="E20" s="207">
        <f>'[1]CSB-50.01'!C7</f>
        <v>0.8</v>
      </c>
      <c r="F20" s="206" t="s">
        <v>16</v>
      </c>
      <c r="G20" s="208">
        <f>'[1]CSB-50.01'!F7</f>
        <v>100</v>
      </c>
      <c r="H20" s="209">
        <f t="shared" ref="H20:H43" si="1">D20*E20*G20</f>
        <v>64.000000000000014</v>
      </c>
      <c r="I20" s="210">
        <f>'[1]CSB-50.01'!F4</f>
        <v>3837000</v>
      </c>
      <c r="J20" s="210">
        <f t="shared" ref="J20:J43" si="2">H20*I20</f>
        <v>245568000.00000006</v>
      </c>
    </row>
    <row r="21" spans="1:10" ht="72" outlineLevel="1" x14ac:dyDescent="0.25">
      <c r="A21" s="204">
        <f t="shared" si="0"/>
        <v>2</v>
      </c>
      <c r="B21" s="205" t="str">
        <f>'[1]CSB-50.02'!G3&amp;CHAR(10)&amp;'[1]CSB-50.02'!G4&amp;CHAR(10)&amp;'[1]CSB-50.02'!G5&amp;CHAR(10)&amp;'[1]CSB-50.02'!G6</f>
        <v>Cửa sổ bật 1 cánh + ô kính cố định
- Nhôm hệ Nova 50
- Kính trắng cường lực dày 8mm
- Phụ kiện tay nắm, bản lề chữ A đồng bộ Draho</v>
      </c>
      <c r="C21" s="206" t="s">
        <v>159</v>
      </c>
      <c r="D21" s="207">
        <f>'[1]CSB-50.02'!C6</f>
        <v>0.8</v>
      </c>
      <c r="E21" s="207">
        <f>'[1]CSB-50.02'!C7</f>
        <v>1.2</v>
      </c>
      <c r="F21" s="206" t="s">
        <v>16</v>
      </c>
      <c r="G21" s="208">
        <f>'[1]CSB-50.02'!F7</f>
        <v>100</v>
      </c>
      <c r="H21" s="209">
        <f t="shared" si="1"/>
        <v>96</v>
      </c>
      <c r="I21" s="210">
        <f>'[1]CSB-50.02'!F4</f>
        <v>3790000</v>
      </c>
      <c r="J21" s="210">
        <f t="shared" si="2"/>
        <v>363840000</v>
      </c>
    </row>
    <row r="22" spans="1:10" ht="72" outlineLevel="1" x14ac:dyDescent="0.25">
      <c r="A22" s="204">
        <f t="shared" si="0"/>
        <v>3</v>
      </c>
      <c r="B22" s="205" t="str">
        <f>'[1]CSB-50.03'!G3&amp;CHAR(10)&amp;'[1]CSB-50.03'!G4&amp;CHAR(10)&amp;'[1]CSB-50.03'!G5&amp;CHAR(10)&amp;'[1]CSB-50.03'!G6</f>
        <v>Cửa sổ bật 1 cánh + ô kính cố định
- Nhôm hệ Nova 50
- Kính trắng cường lực dày 8mm
- Phụ kiện tay nắm, bản lề chữ A đồng bộ Draho</v>
      </c>
      <c r="C22" s="206" t="s">
        <v>160</v>
      </c>
      <c r="D22" s="207">
        <f>'[1]CSB-50.03'!C6</f>
        <v>1.2</v>
      </c>
      <c r="E22" s="207">
        <f>'[1]CSB-50.03'!C7</f>
        <v>0.8</v>
      </c>
      <c r="F22" s="206" t="s">
        <v>16</v>
      </c>
      <c r="G22" s="208">
        <f>'[1]CSB-50.03'!F7</f>
        <v>100</v>
      </c>
      <c r="H22" s="209">
        <f t="shared" si="1"/>
        <v>96</v>
      </c>
      <c r="I22" s="210">
        <f>'[1]CSB-50.03'!F4</f>
        <v>3790000</v>
      </c>
      <c r="J22" s="210">
        <f t="shared" si="2"/>
        <v>363840000</v>
      </c>
    </row>
    <row r="23" spans="1:10" ht="72" outlineLevel="1" x14ac:dyDescent="0.25">
      <c r="A23" s="204">
        <f t="shared" si="0"/>
        <v>4</v>
      </c>
      <c r="B23" s="205" t="str">
        <f>'[1]CSB-50.04'!G3&amp;CHAR(10)&amp;'[1]CSB-50.04'!G4&amp;CHAR(10)&amp;'[1]CSB-50.04'!G5&amp;CHAR(10)&amp;'[1]CSB-50.04'!G6</f>
        <v>Cửa sổ bật 1 cánh + ô kính cố định
- Nhôm hệ Nova 50
- Kính trắng cường lực dày 8mm
- Phụ kiện tay nắm, bản lề chữ A đồng bộ Draho</v>
      </c>
      <c r="C23" s="206" t="s">
        <v>161</v>
      </c>
      <c r="D23" s="207">
        <f>'[1]CSB-50.04'!C6</f>
        <v>0.8</v>
      </c>
      <c r="E23" s="207">
        <f>'[1]CSB-50.04'!C7</f>
        <v>1.8</v>
      </c>
      <c r="F23" s="206" t="s">
        <v>16</v>
      </c>
      <c r="G23" s="208">
        <f>'[1]CSB-50.04'!F7</f>
        <v>100</v>
      </c>
      <c r="H23" s="209">
        <f t="shared" si="1"/>
        <v>144.00000000000003</v>
      </c>
      <c r="I23" s="210">
        <f>'[1]CSB-50.04'!F4</f>
        <v>3309000</v>
      </c>
      <c r="J23" s="210">
        <f t="shared" si="2"/>
        <v>476496000.00000012</v>
      </c>
    </row>
    <row r="24" spans="1:10" ht="72" outlineLevel="1" x14ac:dyDescent="0.25">
      <c r="A24" s="204">
        <f t="shared" si="0"/>
        <v>5</v>
      </c>
      <c r="B24" s="205" t="str">
        <f>'[1]CSB-50.05'!G3&amp;CHAR(10)&amp;'[1]CSB-50.05'!G4&amp;CHAR(10)&amp;'[1]CSB-50.05'!G5&amp;CHAR(10)&amp;'[1]CSB-50.05'!G6</f>
        <v>Cửa sổ bật 1 cánh + ô kính cố định
- Nhôm hệ Nova 50
- Kính trắng cường lực dày 8mm
- Phụ kiện tay nắm, bản lề chữ A đồng bộ Draho</v>
      </c>
      <c r="C24" s="206" t="s">
        <v>162</v>
      </c>
      <c r="D24" s="207">
        <f>'[1]CSB-50.05'!C6</f>
        <v>1.2</v>
      </c>
      <c r="E24" s="207">
        <f>'[1]CSB-50.05'!C7</f>
        <v>1.2</v>
      </c>
      <c r="F24" s="206" t="s">
        <v>16</v>
      </c>
      <c r="G24" s="208">
        <f>'[1]CSB-50.05'!F7</f>
        <v>100</v>
      </c>
      <c r="H24" s="209">
        <f t="shared" si="1"/>
        <v>144</v>
      </c>
      <c r="I24" s="210">
        <f>'[1]CSB-50.05'!F4</f>
        <v>3352000</v>
      </c>
      <c r="J24" s="210">
        <f t="shared" si="2"/>
        <v>482688000</v>
      </c>
    </row>
    <row r="25" spans="1:10" ht="72" outlineLevel="1" x14ac:dyDescent="0.25">
      <c r="A25" s="204">
        <f t="shared" si="0"/>
        <v>6</v>
      </c>
      <c r="B25" s="205" t="str">
        <f>'[1]CSB-50.06'!G3&amp;CHAR(10)&amp;'[1]CSB-50.06'!G4&amp;CHAR(10)&amp;'[1]CSB-50.06'!G5&amp;CHAR(10)&amp;'[1]CSB-50.06'!G6</f>
        <v>Cửa sổ bật 1 cánh + ô kính cố định
- Nhôm hệ Nova 50
- Kính trắng cường lực dày 8mm
- Phụ kiện tay nắm, bản lề chữ A đồng bộ Draho</v>
      </c>
      <c r="C25" s="206" t="s">
        <v>163</v>
      </c>
      <c r="D25" s="207">
        <f>'[1]CSB-50.06'!C6</f>
        <v>1.6</v>
      </c>
      <c r="E25" s="207">
        <f>'[1]CSB-50.06'!C7</f>
        <v>1.2</v>
      </c>
      <c r="F25" s="206" t="s">
        <v>16</v>
      </c>
      <c r="G25" s="208">
        <f>'[1]CSB-50.06'!F7</f>
        <v>100</v>
      </c>
      <c r="H25" s="209">
        <f t="shared" si="1"/>
        <v>192</v>
      </c>
      <c r="I25" s="210">
        <f>'[1]CSB-50.06'!F4</f>
        <v>3146000</v>
      </c>
      <c r="J25" s="210">
        <f t="shared" si="2"/>
        <v>604032000</v>
      </c>
    </row>
    <row r="26" spans="1:10" ht="72" outlineLevel="1" x14ac:dyDescent="0.25">
      <c r="A26" s="204">
        <f t="shared" si="0"/>
        <v>7</v>
      </c>
      <c r="B26" s="205" t="str">
        <f>'[1]CSB-50.07'!G3&amp;CHAR(10)&amp;'[1]CSB-50.07'!G4&amp;CHAR(10)&amp;'[1]CSB-50.07'!G5&amp;CHAR(10)&amp;'[1]CSB-50.07'!G6</f>
        <v>Cửa sổ bật 2 cánh + ô kính cố định
- Nhôm hệ Nova 50
- Kính trắng cường lực dày 8mm
- Phụ kiện tay nắm, bản lề chữ A đồng bộ Draho</v>
      </c>
      <c r="C26" s="206" t="s">
        <v>164</v>
      </c>
      <c r="D26" s="207">
        <f>'[1]CSB-50.07'!C6</f>
        <v>2</v>
      </c>
      <c r="E26" s="207">
        <f>'[1]CSB-50.07'!C7</f>
        <v>1.6</v>
      </c>
      <c r="F26" s="206" t="s">
        <v>16</v>
      </c>
      <c r="G26" s="208">
        <f>'[1]CSB-50.07'!F7</f>
        <v>100</v>
      </c>
      <c r="H26" s="209">
        <f t="shared" si="1"/>
        <v>320</v>
      </c>
      <c r="I26" s="210">
        <f>'[1]CSB-50.07'!F4</f>
        <v>3197000</v>
      </c>
      <c r="J26" s="210">
        <f t="shared" si="2"/>
        <v>1023040000</v>
      </c>
    </row>
    <row r="27" spans="1:10" ht="72" outlineLevel="1" x14ac:dyDescent="0.25">
      <c r="A27" s="204">
        <f t="shared" si="0"/>
        <v>8</v>
      </c>
      <c r="B27" s="205" t="str">
        <f>'[1]CSB-50.08'!G3&amp;CHAR(10)&amp;'[1]CSB-50.08'!G4&amp;CHAR(10)&amp;'[1]CSB-50.08'!G5&amp;CHAR(10)&amp;'[1]CSB-50.08'!G6</f>
        <v>Cửa sổ bật 2 cánh
- Nhôm hệ Nova 50
- Kính trắng cường lực dày 8mm
- Phụ kiện tay nắm, bản lề chữ A đồng bộ Draho</v>
      </c>
      <c r="C27" s="206" t="s">
        <v>165</v>
      </c>
      <c r="D27" s="207">
        <f>'[1]CSB-50.08'!C6</f>
        <v>1.6</v>
      </c>
      <c r="E27" s="207">
        <f>'[1]CSB-50.08'!C7</f>
        <v>0.8</v>
      </c>
      <c r="F27" s="206" t="s">
        <v>16</v>
      </c>
      <c r="G27" s="208">
        <f>'[1]CSB-50.08'!F7</f>
        <v>100</v>
      </c>
      <c r="H27" s="209">
        <f t="shared" si="1"/>
        <v>128.00000000000003</v>
      </c>
      <c r="I27" s="210">
        <f>'[1]CSB-50.08'!F4</f>
        <v>4176000</v>
      </c>
      <c r="J27" s="210">
        <f t="shared" si="2"/>
        <v>534528000.00000012</v>
      </c>
    </row>
    <row r="28" spans="1:10" ht="72" outlineLevel="1" x14ac:dyDescent="0.25">
      <c r="A28" s="204">
        <f t="shared" si="0"/>
        <v>9</v>
      </c>
      <c r="B28" s="205" t="str">
        <f>'[1]CSB-50.09'!G3&amp;CHAR(10)&amp;'[1]CSB-50.09'!G4&amp;CHAR(10)&amp;'[1]CSB-50.09'!G5&amp;CHAR(10)&amp;'[1]CSB-50.09'!G6</f>
        <v>Cửa sổ bật 2 cánh
- Nhôm hệ Nova 50
- Kính trắng cường lực dày 8mm
- Phụ kiện tay nắm, bản lề chữ A đồng bộ Draho</v>
      </c>
      <c r="C28" s="206" t="s">
        <v>166</v>
      </c>
      <c r="D28" s="207">
        <f>'[1]CSB-50.09'!C6</f>
        <v>1.6</v>
      </c>
      <c r="E28" s="207">
        <f>'[1]CSB-50.09'!C7</f>
        <v>1.2</v>
      </c>
      <c r="F28" s="206" t="s">
        <v>16</v>
      </c>
      <c r="G28" s="208">
        <f>'[1]CSB-50.09'!F7</f>
        <v>100</v>
      </c>
      <c r="H28" s="209">
        <f t="shared" si="1"/>
        <v>192</v>
      </c>
      <c r="I28" s="210">
        <f>'[1]CSB-50.09'!F4</f>
        <v>3586000</v>
      </c>
      <c r="J28" s="210">
        <f t="shared" si="2"/>
        <v>688512000</v>
      </c>
    </row>
    <row r="29" spans="1:10" ht="72" outlineLevel="1" x14ac:dyDescent="0.25">
      <c r="A29" s="204">
        <f t="shared" si="0"/>
        <v>10</v>
      </c>
      <c r="B29" s="205" t="str">
        <f>'[1]CSB-50.10'!G3&amp;CHAR(10)&amp;'[1]CSB-50.10'!G4&amp;CHAR(10)&amp;'[1]CSB-50.10'!G5&amp;CHAR(10)&amp;'[1]CSB-50.10'!G6</f>
        <v>Cửa sổ bật 2 cánh
- Nhôm hệ Nova 50
- Kính trắng cường lực dày 8mm
- Phụ kiện tay nắm, bản lề chữ A đồng bộ Draho</v>
      </c>
      <c r="C29" s="206" t="s">
        <v>167</v>
      </c>
      <c r="D29" s="207">
        <f>'[1]CSB-50.10'!C6</f>
        <v>1.6</v>
      </c>
      <c r="E29" s="207">
        <f>'[1]CSB-50.10'!C7</f>
        <v>1.6</v>
      </c>
      <c r="F29" s="206" t="s">
        <v>16</v>
      </c>
      <c r="G29" s="208">
        <f>'[1]CSB-50.10'!F7</f>
        <v>100</v>
      </c>
      <c r="H29" s="209">
        <f t="shared" si="1"/>
        <v>256.00000000000006</v>
      </c>
      <c r="I29" s="210">
        <f>'[1]CSB-50.10'!F4</f>
        <v>3231000</v>
      </c>
      <c r="J29" s="210">
        <f t="shared" si="2"/>
        <v>827136000.00000024</v>
      </c>
    </row>
    <row r="30" spans="1:10" ht="90" outlineLevel="1" x14ac:dyDescent="0.25">
      <c r="A30" s="204">
        <f t="shared" si="0"/>
        <v>11</v>
      </c>
      <c r="B30" s="205" t="str">
        <f>'[1]CDMQ-50.01'!G3&amp;CHAR(10)&amp;'[1]CDMQ-50.01'!G4&amp;CHAR(10)&amp;'[1]CDMQ-50.01'!G5&amp;CHAR(10)&amp;'[1]CDMQ-50.01'!G6</f>
        <v>Cửa đi mở quay 1 cánh
- Nhôm hệ Nova 50
- Kính trắng cường lực dày 10mm
- Phụ kiện bản lề 3D, thân khóa đa điểm đồng bộ Draho</v>
      </c>
      <c r="C30" s="206" t="s">
        <v>168</v>
      </c>
      <c r="D30" s="207">
        <f>'[1]CDMQ-50.01'!C6</f>
        <v>0.9</v>
      </c>
      <c r="E30" s="207">
        <f>'[1]CDMQ-50.01'!C7</f>
        <v>2.2000000000000002</v>
      </c>
      <c r="F30" s="206" t="s">
        <v>16</v>
      </c>
      <c r="G30" s="208">
        <f>'[1]CDMQ-50.01'!F7</f>
        <v>100</v>
      </c>
      <c r="H30" s="209">
        <f t="shared" si="1"/>
        <v>198.00000000000003</v>
      </c>
      <c r="I30" s="210">
        <f>'[1]CDMQ-50.01'!F4</f>
        <v>3619000</v>
      </c>
      <c r="J30" s="210">
        <f t="shared" si="2"/>
        <v>716562000.00000012</v>
      </c>
    </row>
    <row r="31" spans="1:10" ht="90" outlineLevel="1" x14ac:dyDescent="0.25">
      <c r="A31" s="204">
        <f t="shared" si="0"/>
        <v>12</v>
      </c>
      <c r="B31" s="205" t="str">
        <f>'[1]CDMQ-50.02'!G3&amp;CHAR(10)&amp;'[1]CDMQ-50.02'!G4&amp;CHAR(10)&amp;'[1]CDMQ-50.02'!G5&amp;CHAR(10)&amp;'[1]CDMQ-50.02'!G6</f>
        <v>Cửa đi mở quay 1 cánh
- Nhôm hệ Nova 50
- Kính trắng cường lực dày 10mm
- Phụ kiện bản lề 3D, thân khóa đa điểm đồng bộ Draho</v>
      </c>
      <c r="C31" s="206" t="s">
        <v>169</v>
      </c>
      <c r="D31" s="207">
        <f>'[1]CDMQ-50.02'!C6</f>
        <v>0.9</v>
      </c>
      <c r="E31" s="207">
        <f>'[1]CDMQ-50.02'!C7</f>
        <v>2.2000000000000002</v>
      </c>
      <c r="F31" s="206" t="s">
        <v>16</v>
      </c>
      <c r="G31" s="208">
        <f>'[1]CDMQ-50.02'!F7</f>
        <v>100</v>
      </c>
      <c r="H31" s="209">
        <f t="shared" si="1"/>
        <v>198.00000000000003</v>
      </c>
      <c r="I31" s="210">
        <f>'[1]CDMQ-50.02'!F4</f>
        <v>3722000</v>
      </c>
      <c r="J31" s="210">
        <f t="shared" si="2"/>
        <v>736956000.00000012</v>
      </c>
    </row>
    <row r="32" spans="1:10" ht="90" outlineLevel="1" x14ac:dyDescent="0.25">
      <c r="A32" s="204">
        <f t="shared" si="0"/>
        <v>13</v>
      </c>
      <c r="B32" s="205" t="str">
        <f>'[1]CDMQ-50.03'!G3&amp;CHAR(10)&amp;'[1]CDMQ-50.03'!G4&amp;CHAR(10)&amp;'[1]CDMQ-50.03'!G5&amp;CHAR(10)&amp;'[1]CDMQ-50.03'!G6</f>
        <v>Cửa đi mở quay 1 cánh + ô kính cố định
- Nhôm hệ Nova 50
- Kính trắng cường lực dày 10mm
- Phụ kiện bản lề 3D, thân khóa đa điểm đồng bộ Draho</v>
      </c>
      <c r="C32" s="206" t="s">
        <v>170</v>
      </c>
      <c r="D32" s="207">
        <f>'[1]CDMQ-50.03'!C6</f>
        <v>0.9</v>
      </c>
      <c r="E32" s="207">
        <f>'[1]CDMQ-50.03'!C7</f>
        <v>2.7</v>
      </c>
      <c r="F32" s="206" t="s">
        <v>16</v>
      </c>
      <c r="G32" s="208">
        <f>'[1]CDMQ-50.03'!F7</f>
        <v>100</v>
      </c>
      <c r="H32" s="209">
        <f t="shared" si="1"/>
        <v>243.00000000000003</v>
      </c>
      <c r="I32" s="210">
        <f>'[1]CDMQ-50.03'!F4</f>
        <v>3470000</v>
      </c>
      <c r="J32" s="210">
        <f t="shared" si="2"/>
        <v>843210000.00000012</v>
      </c>
    </row>
    <row r="33" spans="1:10" ht="90" outlineLevel="1" x14ac:dyDescent="0.25">
      <c r="A33" s="204">
        <f t="shared" si="0"/>
        <v>14</v>
      </c>
      <c r="B33" s="205" t="str">
        <f>'[1]CDMQ-50.04'!G3&amp;CHAR(10)&amp;'[1]CDMQ-50.04'!G4&amp;CHAR(10)&amp;'[1]CDMQ-50.04'!G5&amp;CHAR(10)&amp;'[1]CDMQ-50.04'!G6</f>
        <v>Cửa đi mở quay 1 cánh + ô kính cố định
- Nhôm hệ Nova 50
- Kính trắng cường lực dày 10mm
- Phụ kiện bản lề 3D, thân khóa đa điểm đồng bộ Draho</v>
      </c>
      <c r="C33" s="206" t="s">
        <v>171</v>
      </c>
      <c r="D33" s="207">
        <f>'[1]CDMQ-50.04'!C6</f>
        <v>0.9</v>
      </c>
      <c r="E33" s="207">
        <f>'[1]CDMQ-50.04'!C7</f>
        <v>2.7</v>
      </c>
      <c r="F33" s="206" t="s">
        <v>16</v>
      </c>
      <c r="G33" s="208">
        <f>'[1]CDMQ-50.04'!F7</f>
        <v>100</v>
      </c>
      <c r="H33" s="209">
        <f t="shared" si="1"/>
        <v>243.00000000000003</v>
      </c>
      <c r="I33" s="210">
        <f>'[1]CDMQ-50.04'!F4</f>
        <v>3554000</v>
      </c>
      <c r="J33" s="210">
        <f t="shared" si="2"/>
        <v>863622000.00000012</v>
      </c>
    </row>
    <row r="34" spans="1:10" ht="90" outlineLevel="1" x14ac:dyDescent="0.25">
      <c r="A34" s="204">
        <f t="shared" si="0"/>
        <v>15</v>
      </c>
      <c r="B34" s="205" t="str">
        <f>'[1]CDMQ-50.05'!G3&amp;CHAR(10)&amp;'[1]CDMQ-50.05'!G4&amp;CHAR(10)&amp;'[1]CDMQ-50.05'!G5&amp;CHAR(10)&amp;'[1]CDMQ-50.05'!G6</f>
        <v>Cửa đi mở quay 1 cánh + ô kính cố định
- Nhôm hệ Nova 50
- Kính trắng cường lực dày 10mm
- Phụ kiện bản lề 3D, thân khóa đa điểm đồng bộ Draho</v>
      </c>
      <c r="C34" s="206" t="s">
        <v>172</v>
      </c>
      <c r="D34" s="207">
        <f>'[1]CDMQ-50.05'!C6</f>
        <v>1.5</v>
      </c>
      <c r="E34" s="207">
        <f>'[1]CDMQ-50.05'!C7</f>
        <v>2.2000000000000002</v>
      </c>
      <c r="F34" s="206" t="s">
        <v>16</v>
      </c>
      <c r="G34" s="208">
        <f>'[1]CDMQ-50.05'!F7</f>
        <v>100</v>
      </c>
      <c r="H34" s="209">
        <f t="shared" si="1"/>
        <v>330</v>
      </c>
      <c r="I34" s="210">
        <f>'[1]CDMQ-50.05'!F4</f>
        <v>3139000</v>
      </c>
      <c r="J34" s="210">
        <f t="shared" si="2"/>
        <v>1035870000</v>
      </c>
    </row>
    <row r="35" spans="1:10" ht="90" outlineLevel="1" x14ac:dyDescent="0.25">
      <c r="A35" s="204">
        <f t="shared" si="0"/>
        <v>16</v>
      </c>
      <c r="B35" s="205" t="str">
        <f>'[1]CDMQ-50.06'!G3&amp;CHAR(10)&amp;'[1]CDMQ-50.06'!G4&amp;CHAR(10)&amp;'[1]CDMQ-50.06'!G5&amp;CHAR(10)&amp;'[1]CDMQ-50.06'!G6</f>
        <v>Cửa đi mở quay 1 cánh + ô kính cố định
- Nhôm hệ Nova 50
- Kính trắng cường lực dày 10mm
- Phụ kiện bản lề 3D, thân khóa đa điểm đồng bộ Draho</v>
      </c>
      <c r="C35" s="206" t="s">
        <v>173</v>
      </c>
      <c r="D35" s="207">
        <f>'[1]CDMQ-50.06'!C6</f>
        <v>1.5</v>
      </c>
      <c r="E35" s="207">
        <f>'[1]CDMQ-50.06'!C7</f>
        <v>2.2000000000000002</v>
      </c>
      <c r="F35" s="206" t="s">
        <v>16</v>
      </c>
      <c r="G35" s="208">
        <f>'[1]CDMQ-50.06'!F7</f>
        <v>100</v>
      </c>
      <c r="H35" s="209">
        <f t="shared" si="1"/>
        <v>330</v>
      </c>
      <c r="I35" s="210">
        <f>'[1]CDMQ-50.06'!F4</f>
        <v>3202000</v>
      </c>
      <c r="J35" s="210">
        <f t="shared" si="2"/>
        <v>1056660000</v>
      </c>
    </row>
    <row r="36" spans="1:10" ht="90" outlineLevel="1" x14ac:dyDescent="0.25">
      <c r="A36" s="204">
        <f t="shared" si="0"/>
        <v>17</v>
      </c>
      <c r="B36" s="205" t="str">
        <f>'[1]CDMQ-50.07'!G3&amp;CHAR(10)&amp;'[1]CDMQ-50.07'!G4&amp;CHAR(10)&amp;'[1]CDMQ-50.07'!G5&amp;CHAR(10)&amp;'[1]CDMQ-50.07'!G6</f>
        <v>Cửa đi mở quay 2 cánh
- Nhôm hệ Nova 50
- Kính trắng cường lực dày 10mm
- Phụ kiện bản lề 3D, thân khóa đa điểm đồng bộ Draho</v>
      </c>
      <c r="C36" s="206" t="s">
        <v>174</v>
      </c>
      <c r="D36" s="207">
        <f>'[1]CDMQ-50.07'!C6</f>
        <v>1.6</v>
      </c>
      <c r="E36" s="207">
        <f>'[1]CDMQ-50.07'!C7</f>
        <v>2.2000000000000002</v>
      </c>
      <c r="F36" s="206" t="s">
        <v>16</v>
      </c>
      <c r="G36" s="208">
        <f>'[1]CDMQ-50.07'!F7</f>
        <v>100</v>
      </c>
      <c r="H36" s="209">
        <f t="shared" si="1"/>
        <v>352.00000000000006</v>
      </c>
      <c r="I36" s="210">
        <f>'[1]CDMQ-50.07'!F4</f>
        <v>3472000</v>
      </c>
      <c r="J36" s="210">
        <f t="shared" si="2"/>
        <v>1222144000.0000002</v>
      </c>
    </row>
    <row r="37" spans="1:10" ht="90" outlineLevel="1" x14ac:dyDescent="0.25">
      <c r="A37" s="204">
        <f t="shared" si="0"/>
        <v>18</v>
      </c>
      <c r="B37" s="205" t="str">
        <f>'[1]CDMQ-50.08'!G3&amp;CHAR(10)&amp;'[1]CDMQ-50.08'!G4&amp;CHAR(10)&amp;'[1]CDMQ-50.08'!G5&amp;CHAR(10)&amp;'[1]CDMQ-50.08'!G6</f>
        <v>Cửa đi mở quay 2 cánh
- Nhôm hệ Nova 50
- Kính trắng cường lực dày 10mm
- Phụ kiện bản lề 3D, thân khóa đa điểm đồng bộ Draho</v>
      </c>
      <c r="C37" s="206" t="s">
        <v>175</v>
      </c>
      <c r="D37" s="207">
        <f>'[1]CDMQ-50.08'!C6</f>
        <v>1.6</v>
      </c>
      <c r="E37" s="207">
        <f>'[1]CDMQ-50.08'!C7</f>
        <v>2.2000000000000002</v>
      </c>
      <c r="F37" s="206" t="s">
        <v>16</v>
      </c>
      <c r="G37" s="208">
        <f>'[1]CDMQ-50.08'!F7</f>
        <v>100</v>
      </c>
      <c r="H37" s="209">
        <f t="shared" si="1"/>
        <v>352.00000000000006</v>
      </c>
      <c r="I37" s="210">
        <f>'[1]CDMQ-50.08'!F4</f>
        <v>3582000</v>
      </c>
      <c r="J37" s="210">
        <f t="shared" si="2"/>
        <v>1260864000.0000002</v>
      </c>
    </row>
    <row r="38" spans="1:10" ht="90" outlineLevel="1" x14ac:dyDescent="0.25">
      <c r="A38" s="204">
        <f t="shared" si="0"/>
        <v>19</v>
      </c>
      <c r="B38" s="205" t="str">
        <f>'[1]CDMQ-50.09'!G3&amp;CHAR(10)&amp;'[1]CDMQ-50.09'!G4&amp;CHAR(10)&amp;'[1]CDMQ-50.09'!G5&amp;CHAR(10)&amp;'[1]CDMQ-50.09'!G6</f>
        <v>Cửa đi mở quay 2 cánh + ô kính cố định
- Nhôm hệ Nova 50
- Kính trắng cường lực dày 10mm
- Phụ kiện bản lề 3D, thân khóa đa điểm đồng bộ Draho</v>
      </c>
      <c r="C38" s="206" t="s">
        <v>176</v>
      </c>
      <c r="D38" s="207">
        <f>'[1]CDMQ-50.09'!C6</f>
        <v>1.6</v>
      </c>
      <c r="E38" s="207">
        <f>'[1]CDMQ-50.09'!C7</f>
        <v>2.7</v>
      </c>
      <c r="F38" s="206" t="s">
        <v>16</v>
      </c>
      <c r="G38" s="208">
        <f>'[1]CDMQ-50.09'!F7</f>
        <v>100</v>
      </c>
      <c r="H38" s="209">
        <f t="shared" si="1"/>
        <v>432</v>
      </c>
      <c r="I38" s="210">
        <f>'[1]CDMQ-50.09'!F4</f>
        <v>3312000</v>
      </c>
      <c r="J38" s="210">
        <f t="shared" si="2"/>
        <v>1430784000</v>
      </c>
    </row>
    <row r="39" spans="1:10" ht="90" outlineLevel="1" x14ac:dyDescent="0.25">
      <c r="A39" s="204">
        <f t="shared" si="0"/>
        <v>20</v>
      </c>
      <c r="B39" s="205" t="str">
        <f>'[1]CDMQ-50.10'!G3&amp;CHAR(10)&amp;'[1]CDMQ-50.10'!G4&amp;CHAR(10)&amp;'[1]CDMQ-50.10'!G5&amp;CHAR(10)&amp;'[1]CDMQ-50.10'!G6</f>
        <v>Cửa đi mở quay 2 cánh + ô kính cố định
- Nhôm hệ Nova 50
- Kính trắng cường lực dày 10mm
- Phụ kiện bản lề 3D, thân khóa đa điểm đồng bộ Draho</v>
      </c>
      <c r="C39" s="206" t="s">
        <v>177</v>
      </c>
      <c r="D39" s="207">
        <f>'[1]CDMQ-50.10'!C6</f>
        <v>1.6</v>
      </c>
      <c r="E39" s="207">
        <f>'[1]CDMQ-50.10'!C7</f>
        <v>2.7</v>
      </c>
      <c r="F39" s="206" t="s">
        <v>16</v>
      </c>
      <c r="G39" s="208">
        <f>'[1]CDMQ-50.10'!F7</f>
        <v>100</v>
      </c>
      <c r="H39" s="209">
        <f t="shared" si="1"/>
        <v>432</v>
      </c>
      <c r="I39" s="210">
        <f>'[1]CDMQ-50.10'!F4</f>
        <v>3402000</v>
      </c>
      <c r="J39" s="210">
        <f t="shared" si="2"/>
        <v>1469664000</v>
      </c>
    </row>
    <row r="40" spans="1:10" ht="90" outlineLevel="1" x14ac:dyDescent="0.25">
      <c r="A40" s="204">
        <f t="shared" si="0"/>
        <v>21</v>
      </c>
      <c r="B40" s="205" t="str">
        <f>'[1]CDMQ-50.11'!G3&amp;CHAR(10)&amp;'[1]CDMQ-50.11'!G4&amp;CHAR(10)&amp;'[1]CDMQ-50.11'!G5&amp;CHAR(10)&amp;'[1]CDMQ-50.11'!G6</f>
        <v>Cửa đi mở quay 2 cánh + ô kính cố định
- Nhôm hệ Nova 50
- Kính trắng cường lực dày 10mm
- Phụ kiện bản lề 3D, thân khóa đa điểm đồng bộ Draho</v>
      </c>
      <c r="C40" s="206" t="s">
        <v>178</v>
      </c>
      <c r="D40" s="207">
        <f>'[1]CDMQ-50.11'!C6</f>
        <v>2.6</v>
      </c>
      <c r="E40" s="207">
        <f>'[1]CDMQ-50.11'!C7</f>
        <v>2.2000000000000002</v>
      </c>
      <c r="F40" s="206" t="s">
        <v>16</v>
      </c>
      <c r="G40" s="208">
        <f>'[1]CDMQ-50.11'!F7</f>
        <v>100</v>
      </c>
      <c r="H40" s="209">
        <f t="shared" si="1"/>
        <v>572.00000000000011</v>
      </c>
      <c r="I40" s="210">
        <f>'[1]CDMQ-50.11'!F4</f>
        <v>3111000</v>
      </c>
      <c r="J40" s="210">
        <f t="shared" si="2"/>
        <v>1779492000.0000002</v>
      </c>
    </row>
    <row r="41" spans="1:10" ht="90" outlineLevel="1" x14ac:dyDescent="0.25">
      <c r="A41" s="204">
        <f t="shared" si="0"/>
        <v>22</v>
      </c>
      <c r="B41" s="205" t="str">
        <f>'[1]CDMQ-50.12'!G3&amp;CHAR(10)&amp;'[1]CDMQ-50.12'!G4&amp;CHAR(10)&amp;'[1]CDMQ-50.12'!G5&amp;CHAR(10)&amp;'[1]CDMQ-50.12'!G6</f>
        <v>Cửa đi mở quay 2 cánh + ô kính cố định
- Nhôm hệ Nova 50
- Kính trắng cường lực dày 10mm
- Phụ kiện bản lề 3D, thân khóa đa điểm đồng bộ Draho</v>
      </c>
      <c r="C41" s="206" t="s">
        <v>179</v>
      </c>
      <c r="D41" s="207">
        <f>'[1]CDMQ-50.12'!C6</f>
        <v>2.6</v>
      </c>
      <c r="E41" s="207">
        <f>'[1]CDMQ-50.12'!C7</f>
        <v>2.2000000000000002</v>
      </c>
      <c r="F41" s="206" t="s">
        <v>16</v>
      </c>
      <c r="G41" s="208">
        <f>'[1]CDMQ-50.12'!F7</f>
        <v>100</v>
      </c>
      <c r="H41" s="209">
        <f t="shared" si="1"/>
        <v>572.00000000000011</v>
      </c>
      <c r="I41" s="210">
        <f>'[1]CDMQ-50.12'!F4</f>
        <v>3215000</v>
      </c>
      <c r="J41" s="210">
        <f t="shared" si="2"/>
        <v>1838980000.0000005</v>
      </c>
    </row>
    <row r="42" spans="1:10" ht="90" outlineLevel="1" x14ac:dyDescent="0.25">
      <c r="A42" s="204">
        <f t="shared" si="0"/>
        <v>23</v>
      </c>
      <c r="B42" s="205" t="str">
        <f>'[1]CDMQ-50.13'!G3&amp;CHAR(10)&amp;'[1]CDMQ-50.13'!G4&amp;CHAR(10)&amp;'[1]CDMQ-50.13'!G5&amp;CHAR(10)&amp;'[1]CDMQ-50.13'!G6</f>
        <v>Cửa đi mở quay 2 cánh + ô kính cố định
- Nhôm hệ Nova 50
- Kính trắng cường lực dày 10mm
- Phụ kiện bản lề 3D, thân khóa đa điểm đồng bộ Draho</v>
      </c>
      <c r="C42" s="206" t="s">
        <v>180</v>
      </c>
      <c r="D42" s="207">
        <f>'[1]CDMQ-50.13'!C6</f>
        <v>2.6</v>
      </c>
      <c r="E42" s="207">
        <f>'[1]CDMQ-50.13'!C7</f>
        <v>2.7</v>
      </c>
      <c r="F42" s="206" t="s">
        <v>16</v>
      </c>
      <c r="G42" s="208">
        <f>'[1]CDMQ-50.13'!F7</f>
        <v>100</v>
      </c>
      <c r="H42" s="209">
        <f t="shared" si="1"/>
        <v>702</v>
      </c>
      <c r="I42" s="210">
        <f>'[1]CDMQ-50.13'!F4</f>
        <v>3070000</v>
      </c>
      <c r="J42" s="210">
        <f t="shared" si="2"/>
        <v>2155140000</v>
      </c>
    </row>
    <row r="43" spans="1:10" ht="90" outlineLevel="1" x14ac:dyDescent="0.25">
      <c r="A43" s="204">
        <f t="shared" si="0"/>
        <v>24</v>
      </c>
      <c r="B43" s="205" t="str">
        <f>'[1]CDMQ-50.14'!G3&amp;CHAR(10)&amp;'[1]CDMQ-50.14'!G4&amp;CHAR(10)&amp;'[1]CDMQ-50.14'!G5&amp;CHAR(10)&amp;'[1]CDMQ-50.14'!G6</f>
        <v>Cửa đi mở quay 4 cánh
- Nhôm hệ Nova 50
- Kính trắng cường lực dày 10mm
- Phụ kiện bản lề 3D, thân khóa đa điểm đồng bộ Draho</v>
      </c>
      <c r="C43" s="206" t="s">
        <v>181</v>
      </c>
      <c r="D43" s="207">
        <f>'[1]CDMQ-50.14'!C6</f>
        <v>2.4</v>
      </c>
      <c r="E43" s="207">
        <f>'[1]CDMQ-50.14'!C7</f>
        <v>2.2000000000000002</v>
      </c>
      <c r="F43" s="206" t="s">
        <v>16</v>
      </c>
      <c r="G43" s="208">
        <f>'[1]CDMQ-50.14'!F7</f>
        <v>100</v>
      </c>
      <c r="H43" s="209">
        <f t="shared" si="1"/>
        <v>528</v>
      </c>
      <c r="I43" s="210">
        <f>'[1]CDMQ-50.14'!F4</f>
        <v>3835000</v>
      </c>
      <c r="J43" s="210">
        <f t="shared" si="2"/>
        <v>2024880000</v>
      </c>
    </row>
    <row r="44" spans="1:10" ht="17.399999999999999" x14ac:dyDescent="0.25">
      <c r="A44" s="197" t="s">
        <v>182</v>
      </c>
      <c r="B44" s="198" t="s">
        <v>183</v>
      </c>
      <c r="C44" s="199"/>
      <c r="D44" s="200"/>
      <c r="E44" s="200"/>
      <c r="F44" s="199"/>
      <c r="G44" s="201"/>
      <c r="H44" s="202">
        <f>SUBTOTAL(9,H45:H51)</f>
        <v>2244</v>
      </c>
      <c r="I44" s="203"/>
      <c r="J44" s="203">
        <f>SUBTOTAL(9,J45:J51)</f>
        <v>8124754000</v>
      </c>
    </row>
    <row r="45" spans="1:10" ht="54" outlineLevel="1" x14ac:dyDescent="0.25">
      <c r="A45" s="204">
        <f t="shared" ref="A45:A51" si="3">IFERROR(A44*1,0)+1</f>
        <v>1</v>
      </c>
      <c r="B45" s="205" t="str">
        <f>[1]VKT.01!G3&amp;CHAR(10)&amp;[1]VKT.01!G5&amp;CHAR(10)&amp;[1]VKT.01!G6</f>
        <v>Vách kính phòng tắm (bản lề tường - kính 90 độ)
- Kính trắng cường lực dày 10mm
- Phụ kiện inox đồng bộ Hafele (Bóng)</v>
      </c>
      <c r="C45" s="206" t="s">
        <v>184</v>
      </c>
      <c r="D45" s="207">
        <f>[1]VKT.01!C6</f>
        <v>1.1000000000000001</v>
      </c>
      <c r="E45" s="207">
        <f>[1]VKT.01!C7</f>
        <v>2.2000000000000002</v>
      </c>
      <c r="F45" s="206" t="s">
        <v>16</v>
      </c>
      <c r="G45" s="208">
        <f>[1]VKT.01!F7</f>
        <v>100</v>
      </c>
      <c r="H45" s="209">
        <f t="shared" ref="H45:H51" si="4">D45*E45*G45</f>
        <v>242.00000000000003</v>
      </c>
      <c r="I45" s="210">
        <f>[1]VKT.01!F4</f>
        <v>3365000</v>
      </c>
      <c r="J45" s="210">
        <f t="shared" ref="J45:J51" si="5">H45*I45</f>
        <v>814330000.00000012</v>
      </c>
    </row>
    <row r="46" spans="1:10" ht="54" outlineLevel="1" x14ac:dyDescent="0.25">
      <c r="A46" s="204">
        <f t="shared" si="3"/>
        <v>2</v>
      </c>
      <c r="B46" s="205" t="str">
        <f>[1]VKT.02!G3&amp;CHAR(10)&amp;[1]VKT.02!G5&amp;CHAR(10)&amp;[1]VKT.02!G6</f>
        <v>Vách kính phòng tắm (bản lề tường - kính 90 độ)
- Kính trắng cường lực dày 10mm
- Phụ kiện inox đồng bộ Hafele (Bóng)</v>
      </c>
      <c r="C46" s="206" t="s">
        <v>185</v>
      </c>
      <c r="D46" s="207">
        <f>[1]VKT.02!C6</f>
        <v>1.5</v>
      </c>
      <c r="E46" s="207">
        <f>[1]VKT.02!C7</f>
        <v>2.2000000000000002</v>
      </c>
      <c r="F46" s="206" t="s">
        <v>16</v>
      </c>
      <c r="G46" s="208">
        <f>[1]VKT.02!F7</f>
        <v>100</v>
      </c>
      <c r="H46" s="209">
        <f t="shared" si="4"/>
        <v>330</v>
      </c>
      <c r="I46" s="210">
        <f>[1]VKT.02!F4</f>
        <v>3628000</v>
      </c>
      <c r="J46" s="210">
        <f t="shared" si="5"/>
        <v>1197240000</v>
      </c>
    </row>
    <row r="47" spans="1:10" ht="54" outlineLevel="1" x14ac:dyDescent="0.25">
      <c r="A47" s="204">
        <f t="shared" si="3"/>
        <v>3</v>
      </c>
      <c r="B47" s="205" t="str">
        <f>[1]VKT.03!G3&amp;CHAR(10)&amp;[1]VKT.03!G5&amp;CHAR(10)&amp;[1]VKT.03!G6</f>
        <v>Vách kính phòng tắm (bản lề kính - kính 90 độ)
- Kính trắng cường lực dày 10mm
- Phụ kiện inox đồng bộ Hafele (Bóng)</v>
      </c>
      <c r="C47" s="206" t="s">
        <v>186</v>
      </c>
      <c r="D47" s="207">
        <f>[1]VKT.03!C6</f>
        <v>1.6</v>
      </c>
      <c r="E47" s="207">
        <f>[1]VKT.03!C7</f>
        <v>2.2000000000000002</v>
      </c>
      <c r="F47" s="206" t="s">
        <v>16</v>
      </c>
      <c r="G47" s="208">
        <f>[1]VKT.03!F7</f>
        <v>100</v>
      </c>
      <c r="H47" s="209">
        <f t="shared" si="4"/>
        <v>352.00000000000006</v>
      </c>
      <c r="I47" s="210">
        <f>[1]VKT.03!F4</f>
        <v>3617000</v>
      </c>
      <c r="J47" s="210">
        <f t="shared" si="5"/>
        <v>1273184000.0000002</v>
      </c>
    </row>
    <row r="48" spans="1:10" ht="54" outlineLevel="1" x14ac:dyDescent="0.25">
      <c r="A48" s="204">
        <f t="shared" si="3"/>
        <v>4</v>
      </c>
      <c r="B48" s="205" t="str">
        <f>[1]VKT.04!G3&amp;CHAR(10)&amp;[1]VKT.04!G5&amp;CHAR(10)&amp;[1]VKT.04!G6</f>
        <v>Vách kính phòng tắm (bản lề kính - kính 180 độ)
- Kính trắng cường lực dày 10mm
- Phụ kiện inox đồng bộ Hafele (Bóng)</v>
      </c>
      <c r="C48" s="206" t="s">
        <v>187</v>
      </c>
      <c r="D48" s="207">
        <f>[1]VKT.04!C6</f>
        <v>1.6</v>
      </c>
      <c r="E48" s="207">
        <f>[1]VKT.04!C7</f>
        <v>2.2000000000000002</v>
      </c>
      <c r="F48" s="206" t="s">
        <v>16</v>
      </c>
      <c r="G48" s="208">
        <f>[1]VKT.04!F7</f>
        <v>100</v>
      </c>
      <c r="H48" s="209">
        <f t="shared" si="4"/>
        <v>352.00000000000006</v>
      </c>
      <c r="I48" s="210">
        <f>[1]VKT.04!F4</f>
        <v>3497000</v>
      </c>
      <c r="J48" s="210">
        <f t="shared" si="5"/>
        <v>1230944000.0000002</v>
      </c>
    </row>
    <row r="49" spans="1:12" ht="54" outlineLevel="1" x14ac:dyDescent="0.25">
      <c r="A49" s="204">
        <f t="shared" si="3"/>
        <v>5</v>
      </c>
      <c r="B49" s="205" t="str">
        <f>[1]VKT.05!G3&amp;CHAR(10)&amp;[1]VKT.05!G5&amp;CHAR(10)&amp;[1]VKT.05!G6</f>
        <v>Vách kính phòng tắm (bản lề kính - kính 180 độ)
- Kính trắng cường lực dày 10mm
- Phụ kiện inox đồng bộ Hafele (Bóng)</v>
      </c>
      <c r="C49" s="206" t="s">
        <v>188</v>
      </c>
      <c r="D49" s="207">
        <f>[1]VKT.05!C6</f>
        <v>1.6</v>
      </c>
      <c r="E49" s="207">
        <f>[1]VKT.05!C7</f>
        <v>2.2000000000000002</v>
      </c>
      <c r="F49" s="206" t="s">
        <v>16</v>
      </c>
      <c r="G49" s="208">
        <f>[1]VKT.05!F7</f>
        <v>100</v>
      </c>
      <c r="H49" s="209">
        <f t="shared" si="4"/>
        <v>352.00000000000006</v>
      </c>
      <c r="I49" s="210">
        <f>[1]VKT.05!F4</f>
        <v>3613000</v>
      </c>
      <c r="J49" s="210">
        <f t="shared" si="5"/>
        <v>1271776000.0000002</v>
      </c>
    </row>
    <row r="50" spans="1:12" ht="54" outlineLevel="1" x14ac:dyDescent="0.25">
      <c r="A50" s="204">
        <f t="shared" si="3"/>
        <v>6</v>
      </c>
      <c r="B50" s="205" t="str">
        <f>[1]VKT.06!G3&amp;CHAR(10)&amp;[1]VKT.06!G5&amp;CHAR(10)&amp;[1]VKT.06!G6</f>
        <v>Vách kính phòng tắm (bản lề kính - kính 135 độ)
- Kính trắng cường lực dày 10mm
- Phụ kiện inox đồng bộ Hafele (Bóng)</v>
      </c>
      <c r="C50" s="206" t="s">
        <v>189</v>
      </c>
      <c r="D50" s="207">
        <f>[1]VKT.06!C6</f>
        <v>1.6</v>
      </c>
      <c r="E50" s="207">
        <f>[1]VKT.06!C7</f>
        <v>2.2000000000000002</v>
      </c>
      <c r="F50" s="206" t="s">
        <v>16</v>
      </c>
      <c r="G50" s="208">
        <f>[1]VKT.06!F7</f>
        <v>100</v>
      </c>
      <c r="H50" s="209">
        <f t="shared" si="4"/>
        <v>352.00000000000006</v>
      </c>
      <c r="I50" s="210">
        <f>[1]VKT.06!F4</f>
        <v>3733000</v>
      </c>
      <c r="J50" s="210">
        <f t="shared" si="5"/>
        <v>1314016000.0000002</v>
      </c>
    </row>
    <row r="51" spans="1:12" ht="54" outlineLevel="1" collapsed="1" x14ac:dyDescent="0.25">
      <c r="A51" s="204">
        <f t="shared" si="3"/>
        <v>7</v>
      </c>
      <c r="B51" s="205" t="str">
        <f>[1]VKT.07!G3&amp;CHAR(10)&amp;[1]VKT.07!G5&amp;CHAR(10)&amp;[1]VKT.07!G6</f>
        <v>Vách kính phòng tắm (bản lề kính - kính 135 độ)
- Kính trắng cường lực dày 10mm
- Phụ kiện inox đồng bộ Hafele (Bóng)</v>
      </c>
      <c r="C51" s="206" t="s">
        <v>190</v>
      </c>
      <c r="D51" s="207">
        <f>[1]VKT.07!C6</f>
        <v>1.2</v>
      </c>
      <c r="E51" s="207">
        <f>[1]VKT.07!C7</f>
        <v>2.2000000000000002</v>
      </c>
      <c r="F51" s="206" t="s">
        <v>16</v>
      </c>
      <c r="G51" s="208">
        <f>[1]VKT.07!F7</f>
        <v>100</v>
      </c>
      <c r="H51" s="209">
        <f t="shared" si="4"/>
        <v>264</v>
      </c>
      <c r="I51" s="210">
        <f>[1]VKT.07!F4</f>
        <v>3876000</v>
      </c>
      <c r="J51" s="210">
        <f t="shared" si="5"/>
        <v>1023264000</v>
      </c>
    </row>
    <row r="52" spans="1:12" s="216" customFormat="1" ht="17.399999999999999" collapsed="1" x14ac:dyDescent="0.3">
      <c r="A52" s="212" t="s">
        <v>191</v>
      </c>
      <c r="B52" s="212"/>
      <c r="C52" s="212"/>
      <c r="D52" s="212"/>
      <c r="E52" s="212"/>
      <c r="F52" s="212"/>
      <c r="G52" s="213"/>
      <c r="H52" s="214">
        <f>SUBTOTAL(9,H9:H51)</f>
        <v>12156</v>
      </c>
      <c r="I52" s="215">
        <f>IFERROR(J52/H52,"")</f>
        <v>3354291.0496873972</v>
      </c>
      <c r="J52" s="215">
        <f>SUBTOTAL(9,J9:J51)</f>
        <v>40774762000</v>
      </c>
      <c r="L52" s="217"/>
    </row>
    <row r="53" spans="1:12" ht="18" x14ac:dyDescent="0.25">
      <c r="A53" s="218"/>
      <c r="B53" s="219"/>
      <c r="C53" s="220"/>
      <c r="D53" s="221"/>
      <c r="E53" s="221"/>
      <c r="F53" s="221"/>
      <c r="G53" s="221"/>
      <c r="H53" s="222"/>
      <c r="I53" s="223"/>
      <c r="J53" s="224"/>
    </row>
    <row r="54" spans="1:12" ht="20.399999999999999" x14ac:dyDescent="0.25">
      <c r="A54" s="225" t="s">
        <v>192</v>
      </c>
      <c r="B54" s="226"/>
      <c r="C54" s="227"/>
      <c r="D54" s="227"/>
      <c r="E54" s="227"/>
      <c r="F54" s="227"/>
      <c r="G54" s="228"/>
      <c r="H54" s="229"/>
      <c r="I54" s="230"/>
      <c r="J54" s="229"/>
    </row>
    <row r="55" spans="1:12" ht="18" x14ac:dyDescent="0.25">
      <c r="A55" s="231" t="str">
        <f>"- Sản phẩm sử dụng hệ nhôm hoàn thiện sơn tĩnh điện theo tiêu chuẩn "&amp;'[1]THIET DAT'!K8&amp;", bảo hành sơn "&amp;IF('[1]THIET DAT'!K8='[1]THIET DAT'!K11,20,IF('[1]THIET DAT'!K8='[1]THIET DAT'!K12,30,10))&amp;" năm, màu sơn solid (không bao gồm màu sơn metalic)."</f>
        <v>- Sản phẩm sử dụng hệ nhôm hoàn thiện sơn tĩnh điện theo tiêu chuẩn AAMA2604, bảo hành sơn 20 năm, màu sơn solid (không bao gồm màu sơn metalic).</v>
      </c>
      <c r="B55" s="232"/>
      <c r="C55" s="232"/>
      <c r="D55" s="232"/>
      <c r="E55" s="232"/>
      <c r="F55" s="232"/>
      <c r="G55" s="232"/>
      <c r="H55" s="232"/>
      <c r="I55" s="232"/>
      <c r="J55" s="232"/>
    </row>
    <row r="56" spans="1:12" ht="18" x14ac:dyDescent="0.25">
      <c r="A56" s="233" t="s">
        <v>193</v>
      </c>
      <c r="B56" s="234"/>
      <c r="C56" s="234"/>
      <c r="D56" s="234"/>
      <c r="E56" s="234"/>
      <c r="F56" s="234"/>
      <c r="G56" s="234"/>
      <c r="H56" s="234"/>
      <c r="I56" s="234"/>
      <c r="J56" s="234"/>
    </row>
    <row r="57" spans="1:12" ht="18" x14ac:dyDescent="0.25">
      <c r="A57" s="233" t="s">
        <v>194</v>
      </c>
      <c r="B57" s="234"/>
      <c r="C57" s="234"/>
      <c r="D57" s="234"/>
      <c r="E57" s="234"/>
      <c r="F57" s="234"/>
      <c r="G57" s="234"/>
      <c r="H57" s="234"/>
      <c r="I57" s="234"/>
      <c r="J57" s="234"/>
    </row>
    <row r="58" spans="1:12" ht="18" x14ac:dyDescent="0.25">
      <c r="A58" s="233" t="s">
        <v>195</v>
      </c>
      <c r="B58" s="234"/>
      <c r="C58" s="234"/>
      <c r="D58" s="234"/>
      <c r="E58" s="234"/>
      <c r="F58" s="234"/>
      <c r="G58" s="234"/>
      <c r="H58" s="234"/>
      <c r="I58" s="234"/>
      <c r="J58" s="234"/>
    </row>
    <row r="59" spans="1:12" ht="18" x14ac:dyDescent="0.25">
      <c r="A59" s="233" t="s">
        <v>196</v>
      </c>
      <c r="B59" s="234"/>
      <c r="C59" s="234"/>
      <c r="D59" s="234"/>
      <c r="E59" s="234"/>
      <c r="F59" s="234"/>
      <c r="G59" s="234"/>
      <c r="H59" s="234"/>
      <c r="I59" s="234"/>
      <c r="J59" s="234"/>
    </row>
    <row r="60" spans="1:12" ht="18" x14ac:dyDescent="0.25">
      <c r="A60" s="233" t="s">
        <v>197</v>
      </c>
      <c r="B60" s="234"/>
      <c r="C60" s="234"/>
      <c r="D60" s="234"/>
      <c r="E60" s="234"/>
      <c r="F60" s="234"/>
      <c r="G60" s="234"/>
      <c r="H60" s="234"/>
      <c r="I60" s="234"/>
      <c r="J60" s="234"/>
    </row>
    <row r="61" spans="1:12" ht="18" x14ac:dyDescent="0.25">
      <c r="A61" s="234" t="s">
        <v>198</v>
      </c>
      <c r="B61" s="234"/>
      <c r="C61" s="234"/>
      <c r="D61" s="234"/>
      <c r="E61" s="234"/>
      <c r="F61" s="234"/>
      <c r="G61" s="234"/>
      <c r="H61" s="234"/>
      <c r="I61" s="234"/>
      <c r="J61" s="234"/>
    </row>
    <row r="62" spans="1:12" ht="18" x14ac:dyDescent="0.25">
      <c r="A62" s="234" t="s">
        <v>199</v>
      </c>
      <c r="B62" s="234"/>
      <c r="C62" s="234"/>
      <c r="D62" s="234"/>
      <c r="E62" s="234"/>
      <c r="F62" s="234"/>
      <c r="G62" s="234"/>
      <c r="H62" s="234"/>
      <c r="I62" s="234"/>
      <c r="J62" s="234"/>
    </row>
    <row r="63" spans="1:12" ht="18" x14ac:dyDescent="0.25">
      <c r="A63" s="234" t="s">
        <v>200</v>
      </c>
      <c r="B63" s="234"/>
      <c r="C63" s="234"/>
      <c r="D63" s="234"/>
      <c r="E63" s="234"/>
      <c r="F63" s="234"/>
      <c r="G63" s="234"/>
      <c r="H63" s="234"/>
      <c r="I63" s="234"/>
      <c r="J63" s="234"/>
    </row>
    <row r="64" spans="1:12" ht="18" x14ac:dyDescent="0.25">
      <c r="A64" s="234" t="s">
        <v>201</v>
      </c>
      <c r="B64" s="234"/>
      <c r="C64" s="234"/>
      <c r="D64" s="234"/>
      <c r="E64" s="234"/>
      <c r="F64" s="234"/>
      <c r="G64" s="234"/>
      <c r="H64" s="234"/>
      <c r="I64" s="234"/>
      <c r="J64" s="234"/>
    </row>
    <row r="65" spans="1:10" ht="18" x14ac:dyDescent="0.25">
      <c r="A65" s="234" t="s">
        <v>202</v>
      </c>
      <c r="B65" s="234"/>
      <c r="C65" s="234"/>
      <c r="D65" s="234"/>
      <c r="E65" s="234"/>
      <c r="F65" s="234"/>
      <c r="G65" s="234"/>
      <c r="H65" s="234"/>
      <c r="I65" s="234"/>
      <c r="J65" s="234"/>
    </row>
    <row r="66" spans="1:10" ht="18" x14ac:dyDescent="0.25">
      <c r="A66" s="234" t="s">
        <v>203</v>
      </c>
      <c r="B66" s="234"/>
      <c r="C66" s="234"/>
      <c r="D66" s="234"/>
      <c r="E66" s="234"/>
      <c r="F66" s="234"/>
      <c r="G66" s="234"/>
      <c r="H66" s="234"/>
      <c r="I66" s="234"/>
      <c r="J66" s="234"/>
    </row>
  </sheetData>
  <mergeCells count="16">
    <mergeCell ref="A63:J63"/>
    <mergeCell ref="A64:J64"/>
    <mergeCell ref="A65:J65"/>
    <mergeCell ref="A66:J66"/>
    <mergeCell ref="A57:J57"/>
    <mergeCell ref="A58:J58"/>
    <mergeCell ref="A59:J59"/>
    <mergeCell ref="A60:J60"/>
    <mergeCell ref="A61:J61"/>
    <mergeCell ref="A62:J62"/>
    <mergeCell ref="A1:J1"/>
    <mergeCell ref="A2:J2"/>
    <mergeCell ref="A3:J3"/>
    <mergeCell ref="A52:F52"/>
    <mergeCell ref="A55:J55"/>
    <mergeCell ref="A56:J56"/>
  </mergeCells>
  <pageMargins left="0.70866141732283472" right="0.70866141732283472" top="0.74803149606299213" bottom="0.74803149606299213" header="0.31496062992125984" footer="0.31496062992125984"/>
  <pageSetup paperSize="9" scale="43" fitToHeight="0" orientation="portrait" r:id="rId1"/>
  <headerFooter>
    <oddFooter>&amp;CNOVA E&amp;&amp;C JOINT STOCK COMPANY
673 Dien Bien Phu Street, Ward 25, Binh Thanh District, Ho Chi Minh City&amp;R&amp;P/&amp;N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D0C0-0C2E-477B-9D59-D67723F81705}">
  <sheetPr codeName="Sheet60">
    <tabColor rgb="FF00B050"/>
    <outlinePr summaryBelow="0" summaryRight="0"/>
    <pageSetUpPr fitToPage="1"/>
  </sheetPr>
  <dimension ref="A1:L677"/>
  <sheetViews>
    <sheetView showGridLines="0" view="pageBreakPreview" zoomScaleNormal="100" zoomScaleSheetLayoutView="100" workbookViewId="0">
      <pane ySplit="12" topLeftCell="A31" activePane="bottomLeft" state="frozen"/>
      <selection activeCell="F131" sqref="F131"/>
      <selection pane="bottomLeft" activeCell="F131" sqref="F131"/>
    </sheetView>
  </sheetViews>
  <sheetFormatPr defaultColWidth="9.33203125" defaultRowHeight="13.2" outlineLevelRow="1" outlineLevelCol="1" x14ac:dyDescent="0.3"/>
  <cols>
    <col min="1" max="1" width="33.109375" style="389" customWidth="1"/>
    <col min="2" max="2" width="16.5546875" style="390" customWidth="1"/>
    <col min="3" max="3" width="10.6640625" style="243" customWidth="1"/>
    <col min="4" max="4" width="15.6640625" style="243" customWidth="1"/>
    <col min="5" max="5" width="14.6640625" style="243" customWidth="1"/>
    <col min="6" max="6" width="12.44140625" style="243" customWidth="1"/>
    <col min="7" max="7" width="14.5546875" style="390" customWidth="1"/>
    <col min="8" max="8" width="11" style="243" customWidth="1"/>
    <col min="9" max="9" width="12.44140625" style="243" bestFit="1" customWidth="1"/>
    <col min="10" max="10" width="7.5546875" style="243" customWidth="1" outlineLevel="1"/>
    <col min="11" max="13" width="9.109375" style="243" customWidth="1"/>
    <col min="14" max="87" width="10.33203125" style="243" customWidth="1"/>
    <col min="88" max="16384" width="9.33203125" style="243"/>
  </cols>
  <sheetData>
    <row r="1" spans="1:11" ht="19.5" customHeight="1" x14ac:dyDescent="0.3">
      <c r="A1" s="238" t="s">
        <v>204</v>
      </c>
      <c r="B1" s="238" t="s">
        <v>205</v>
      </c>
      <c r="C1" s="238" t="s">
        <v>206</v>
      </c>
      <c r="D1" s="239"/>
      <c r="E1" s="240" t="str">
        <f>"Nhôm: "&amp;ROUND(I13/I188*100,0)&amp;"%"</f>
        <v>Nhôm: 47%</v>
      </c>
      <c r="F1" s="240" t="str">
        <f>"Kính: "&amp;ROUND(I112/I188*100,0)&amp;"%"</f>
        <v>Kính: 9%</v>
      </c>
      <c r="G1" s="240" t="str">
        <f>"Vật tư phụ: "&amp;100-(ROUND(I13/I188*100,0)+ROUND(I112/I188*100,0)+ROUND((I126+I186)/I188*100,0))&amp;"%"</f>
        <v>Vật tư phụ: 22%</v>
      </c>
      <c r="H1" s="241" t="str">
        <f>"Nhân công: "&amp;ROUND((I126+I186)/I188*100,0)&amp;"%"</f>
        <v>Nhân công: 22%</v>
      </c>
      <c r="I1" s="242"/>
    </row>
    <row r="2" spans="1:11" ht="14.25" customHeight="1" x14ac:dyDescent="0.3">
      <c r="A2" s="244" t="str">
        <f>pkcn50.65</f>
        <v>Draho</v>
      </c>
      <c r="B2" s="245" t="s">
        <v>146</v>
      </c>
      <c r="C2" s="246" t="s">
        <v>71</v>
      </c>
      <c r="D2" s="239"/>
      <c r="E2" s="247">
        <f>I13/I188*F4</f>
        <v>1929575.9853084239</v>
      </c>
      <c r="F2" s="247">
        <f>I112/I188*F4</f>
        <v>349557.63141417119</v>
      </c>
      <c r="G2" s="247">
        <f>F4-(E2+F2+H2)</f>
        <v>920699.67274249671</v>
      </c>
      <c r="H2" s="248">
        <f>(I126+I186)/I188*F4</f>
        <v>903166.71053490846</v>
      </c>
      <c r="I2" s="248"/>
    </row>
    <row r="3" spans="1:11" ht="14.25" customHeight="1" x14ac:dyDescent="0.3">
      <c r="A3" s="249" t="s">
        <v>207</v>
      </c>
      <c r="B3" s="250"/>
      <c r="C3" s="246"/>
      <c r="E3" s="251" t="s">
        <v>208</v>
      </c>
      <c r="F3" s="252" t="s">
        <v>147</v>
      </c>
      <c r="G3" s="253" t="s">
        <v>209</v>
      </c>
      <c r="H3" s="253"/>
      <c r="I3" s="253"/>
    </row>
    <row r="4" spans="1:11" ht="14.25" customHeight="1" x14ac:dyDescent="0.3">
      <c r="A4" s="249"/>
      <c r="B4" s="250"/>
      <c r="C4" s="254"/>
      <c r="E4" s="255" t="s">
        <v>210</v>
      </c>
      <c r="F4" s="256">
        <f>ROUNDUP(F6/F5,-3)</f>
        <v>4103000</v>
      </c>
      <c r="G4" s="257" t="s">
        <v>211</v>
      </c>
      <c r="H4" s="258"/>
      <c r="I4" s="259"/>
    </row>
    <row r="5" spans="1:11" ht="14.25" customHeight="1" x14ac:dyDescent="0.3">
      <c r="A5" s="249"/>
      <c r="B5" s="250"/>
      <c r="C5" s="254"/>
      <c r="E5" s="260" t="s">
        <v>212</v>
      </c>
      <c r="F5" s="261">
        <f>C6*C7</f>
        <v>0.72</v>
      </c>
      <c r="G5" s="262" t="str">
        <f>"- "&amp;INDEX(tenkinh,MATCH(C2,makinh,0),0)</f>
        <v>- Kính trắng cường lực dày 8mm</v>
      </c>
      <c r="H5" s="262"/>
      <c r="I5" s="262"/>
    </row>
    <row r="6" spans="1:11" ht="14.25" customHeight="1" x14ac:dyDescent="0.3">
      <c r="A6" s="263" t="s">
        <v>213</v>
      </c>
      <c r="B6" s="264" t="s">
        <v>214</v>
      </c>
      <c r="C6" s="265">
        <v>1.2</v>
      </c>
      <c r="E6" s="260" t="s">
        <v>215</v>
      </c>
      <c r="F6" s="266">
        <f>I188/(1-bctc-cpcty-dpp-dpbh-cpk)</f>
        <v>2953565.8887159536</v>
      </c>
      <c r="G6" s="262" t="str">
        <f>INDEX(ghichuvattu,MATCH($A$3,mavattu,0))</f>
        <v>- Phụ kiện bánh xe đôi, khóa âm đồng bộ Draho</v>
      </c>
      <c r="H6" s="262"/>
      <c r="I6" s="262"/>
    </row>
    <row r="7" spans="1:11" ht="14.25" customHeight="1" x14ac:dyDescent="0.3">
      <c r="A7" s="267"/>
      <c r="B7" s="264" t="s">
        <v>216</v>
      </c>
      <c r="C7" s="265">
        <v>0.6</v>
      </c>
      <c r="E7" s="244" t="s">
        <v>217</v>
      </c>
      <c r="F7" s="268">
        <f>SUMIF(MACUA,F3,SOLUONG)</f>
        <v>100</v>
      </c>
      <c r="G7" s="269"/>
      <c r="H7" s="270"/>
      <c r="I7" s="270"/>
    </row>
    <row r="8" spans="1:11" ht="14.25" customHeight="1" x14ac:dyDescent="0.3">
      <c r="A8" s="267"/>
      <c r="B8" s="271" t="s">
        <v>218</v>
      </c>
      <c r="C8" s="272"/>
      <c r="E8" s="244" t="s">
        <v>219</v>
      </c>
      <c r="F8" s="273">
        <f>G121/F5/2</f>
        <v>0.62658333333333327</v>
      </c>
      <c r="G8" s="274"/>
      <c r="H8" s="274"/>
      <c r="I8" s="274"/>
    </row>
    <row r="9" spans="1:11" ht="14.25" customHeight="1" x14ac:dyDescent="0.3">
      <c r="A9" s="267"/>
      <c r="B9" s="271" t="s">
        <v>220</v>
      </c>
      <c r="C9" s="272"/>
      <c r="D9" s="270"/>
      <c r="E9" s="275"/>
      <c r="F9" s="275"/>
      <c r="G9" s="276"/>
      <c r="H9" s="276"/>
      <c r="I9" s="276"/>
    </row>
    <row r="10" spans="1:11" ht="14.25" customHeight="1" x14ac:dyDescent="0.3">
      <c r="A10" s="267"/>
      <c r="B10" s="277" t="s">
        <v>221</v>
      </c>
      <c r="C10" s="278"/>
      <c r="D10" s="270"/>
      <c r="E10" s="275"/>
      <c r="F10" s="275"/>
      <c r="G10" s="276"/>
      <c r="H10" s="276"/>
      <c r="I10" s="276"/>
    </row>
    <row r="11" spans="1:11" ht="14.25" customHeight="1" x14ac:dyDescent="0.3">
      <c r="A11" s="279"/>
      <c r="B11" s="277" t="s">
        <v>222</v>
      </c>
      <c r="C11" s="278"/>
      <c r="D11" s="270"/>
      <c r="E11" s="275"/>
      <c r="F11" s="275"/>
      <c r="G11" s="276"/>
      <c r="H11" s="276"/>
      <c r="I11" s="276"/>
    </row>
    <row r="12" spans="1:11" ht="26.4" x14ac:dyDescent="0.3">
      <c r="A12" s="280" t="s">
        <v>223</v>
      </c>
      <c r="B12" s="281" t="s">
        <v>224</v>
      </c>
      <c r="C12" s="281" t="s">
        <v>225</v>
      </c>
      <c r="D12" s="281" t="s">
        <v>226</v>
      </c>
      <c r="E12" s="281" t="s">
        <v>142</v>
      </c>
      <c r="F12" s="281" t="s">
        <v>227</v>
      </c>
      <c r="G12" s="281" t="s">
        <v>228</v>
      </c>
      <c r="H12" s="281" t="s">
        <v>229</v>
      </c>
      <c r="I12" s="281" t="s">
        <v>230</v>
      </c>
    </row>
    <row r="13" spans="1:11" x14ac:dyDescent="0.3">
      <c r="A13" s="282" t="s">
        <v>231</v>
      </c>
      <c r="B13" s="283"/>
      <c r="C13" s="284"/>
      <c r="D13" s="284"/>
      <c r="E13" s="284"/>
      <c r="F13" s="285"/>
      <c r="G13" s="286">
        <f>SUBTOTAL(9,G14:G71)</f>
        <v>8.1808533826000005</v>
      </c>
      <c r="H13" s="287"/>
      <c r="I13" s="287">
        <f>SUBTOTAL(9,I14:I71)</f>
        <v>930640.25655080006</v>
      </c>
    </row>
    <row r="14" spans="1:11" x14ac:dyDescent="0.3">
      <c r="A14" s="288" t="str">
        <f>IFERROR(INDEX(TENPROFILE,MATCH(B14,MAPROFILE,0)),"")</f>
        <v>Khung bao sổ lùa</v>
      </c>
      <c r="B14" s="289" t="s">
        <v>50</v>
      </c>
      <c r="C14" s="290" t="s">
        <v>216</v>
      </c>
      <c r="D14" s="291">
        <f>INDEX($B$4:$C$11,MATCH(C14,$B$4:$B$11,0),2)-J14</f>
        <v>0.59</v>
      </c>
      <c r="E14" s="289">
        <v>2</v>
      </c>
      <c r="F14" s="292">
        <f>IFERROR(VLOOKUP(B14,Alu_data,2,0),"")</f>
        <v>0.90100000000000002</v>
      </c>
      <c r="G14" s="291">
        <f>(1+hp_nhom)*D14*E14*F14</f>
        <v>1.1269708000000001</v>
      </c>
      <c r="H14" s="293">
        <f>gn_csl</f>
        <v>116300</v>
      </c>
      <c r="I14" s="293">
        <f>G14*H14</f>
        <v>131066.70404000001</v>
      </c>
      <c r="J14" s="294">
        <f>0.005*2</f>
        <v>0.01</v>
      </c>
      <c r="K14" s="295"/>
    </row>
    <row r="15" spans="1:11" x14ac:dyDescent="0.3">
      <c r="A15" s="296" t="str">
        <f>IFERROR(INDEX(TENPROFILE,MATCH(B15,MAPROFILE,0)),"")</f>
        <v>Khung bao sổ lùa</v>
      </c>
      <c r="B15" s="297" t="s">
        <v>50</v>
      </c>
      <c r="C15" s="298" t="s">
        <v>214</v>
      </c>
      <c r="D15" s="299">
        <f>INDEX($B$4:$C$11,MATCH(C15,$B$4:$B$11,0),2)-J15</f>
        <v>1.19</v>
      </c>
      <c r="E15" s="297">
        <v>2</v>
      </c>
      <c r="F15" s="300">
        <f>IFERROR(VLOOKUP(B15,Alu_data,2,0),"")</f>
        <v>0.90100000000000002</v>
      </c>
      <c r="G15" s="299">
        <f>(1+hp_nhom)*D15*E15*F15</f>
        <v>2.2730428000000003</v>
      </c>
      <c r="H15" s="301">
        <f>gn_csl</f>
        <v>116300</v>
      </c>
      <c r="I15" s="301">
        <f>G15*H15</f>
        <v>264354.87764000002</v>
      </c>
      <c r="J15" s="294">
        <f>0.005*2</f>
        <v>0.01</v>
      </c>
      <c r="K15" s="295"/>
    </row>
    <row r="16" spans="1:11" x14ac:dyDescent="0.3">
      <c r="A16" s="296" t="str">
        <f>IFERROR(INDEX(TENPROFILE,MATCH(B16,MAPROFILE,0)),"")</f>
        <v>Thanh ray</v>
      </c>
      <c r="B16" s="297" t="s">
        <v>53</v>
      </c>
      <c r="C16" s="298" t="s">
        <v>214</v>
      </c>
      <c r="D16" s="299">
        <f>INDEX($B$4:$C$11,MATCH(C16,$B$4:$B$11,0),2)-J16</f>
        <v>1.1159999999999999</v>
      </c>
      <c r="E16" s="297">
        <v>2</v>
      </c>
      <c r="F16" s="300">
        <f>IFERROR(VLOOKUP(B16,Alu_data,2,0),"")</f>
        <v>9.2999999999999999E-2</v>
      </c>
      <c r="G16" s="299">
        <f>(1+hp_nhom)*D16*E16*F16</f>
        <v>0.22003056000000001</v>
      </c>
      <c r="H16" s="301">
        <f>gn_csl</f>
        <v>116300</v>
      </c>
      <c r="I16" s="301">
        <f>G16*H16</f>
        <v>25589.554128000003</v>
      </c>
      <c r="J16" s="294">
        <f>0.042*2</f>
        <v>8.4000000000000005E-2</v>
      </c>
      <c r="K16" s="295"/>
    </row>
    <row r="17" spans="1:11" x14ac:dyDescent="0.3">
      <c r="A17" s="296"/>
      <c r="B17" s="297"/>
      <c r="C17" s="298"/>
      <c r="D17" s="299"/>
      <c r="E17" s="297"/>
      <c r="F17" s="300"/>
      <c r="G17" s="299"/>
      <c r="H17" s="301"/>
      <c r="I17" s="301"/>
      <c r="J17" s="294"/>
      <c r="K17" s="295"/>
    </row>
    <row r="18" spans="1:11" x14ac:dyDescent="0.3">
      <c r="A18" s="296" t="str">
        <f>IFERROR(INDEX(TENPROFILE,MATCH(B18,MAPROFILE,0)),"")</f>
        <v>Khung cánh sổ lùa</v>
      </c>
      <c r="B18" s="297" t="s">
        <v>51</v>
      </c>
      <c r="C18" s="298" t="s">
        <v>216</v>
      </c>
      <c r="D18" s="299">
        <f>INDEX($B$4:$C$11,MATCH(C18,$B$4:$B$11,0),2)-J18</f>
        <v>0.53200000000000003</v>
      </c>
      <c r="E18" s="297">
        <v>4</v>
      </c>
      <c r="F18" s="300">
        <f>IFERROR(VLOOKUP(B18,Alu_data,2,0),"")</f>
        <v>0.67600000000000005</v>
      </c>
      <c r="G18" s="299">
        <f>(1+hp_nhom)*D18*E18*F18</f>
        <v>1.5248396800000004</v>
      </c>
      <c r="H18" s="301">
        <f>gn_csl</f>
        <v>116300</v>
      </c>
      <c r="I18" s="301">
        <f>G18*H18</f>
        <v>177338.85478400005</v>
      </c>
      <c r="J18" s="294">
        <f>0.034*2</f>
        <v>6.8000000000000005E-2</v>
      </c>
      <c r="K18" s="295"/>
    </row>
    <row r="19" spans="1:11" x14ac:dyDescent="0.3">
      <c r="A19" s="296" t="str">
        <f>IFERROR(INDEX(TENPROFILE,MATCH(B19,MAPROFILE,0)),"")</f>
        <v>Thanh khóa cánh</v>
      </c>
      <c r="B19" s="297" t="s">
        <v>232</v>
      </c>
      <c r="C19" s="298" t="s">
        <v>216</v>
      </c>
      <c r="D19" s="299">
        <f>INDEX($B$4:$C$11,MATCH(C19,$B$4:$B$11,0),2)-J19</f>
        <v>0.53200000000000003</v>
      </c>
      <c r="E19" s="297"/>
      <c r="F19" s="300">
        <f>IFERROR(VLOOKUP(B19,Alu_data,2,0),"")</f>
        <v>0.26800000000000002</v>
      </c>
      <c r="G19" s="299">
        <f>(1+hp_nhom)*D19*E19*F19</f>
        <v>0</v>
      </c>
      <c r="H19" s="301">
        <f>gn_csl</f>
        <v>116300</v>
      </c>
      <c r="I19" s="301">
        <f>G19*H19</f>
        <v>0</v>
      </c>
      <c r="J19" s="294">
        <f>J18</f>
        <v>6.8000000000000005E-2</v>
      </c>
      <c r="K19" s="295"/>
    </row>
    <row r="20" spans="1:11" x14ac:dyDescent="0.3">
      <c r="A20" s="296" t="str">
        <f>IFERROR(INDEX(TENPROFILE,MATCH(B20,MAPROFILE,0)),"")</f>
        <v>Thanh móc sổ lùa</v>
      </c>
      <c r="B20" s="297" t="s">
        <v>52</v>
      </c>
      <c r="C20" s="298" t="s">
        <v>216</v>
      </c>
      <c r="D20" s="299">
        <f>INDEX($B$4:$C$11,MATCH(C20,$B$4:$B$11,0),2)-J20</f>
        <v>0.53200000000000003</v>
      </c>
      <c r="E20" s="297">
        <f>E18/2</f>
        <v>2</v>
      </c>
      <c r="F20" s="300">
        <f>IFERROR(VLOOKUP(B20,Alu_data,2,0),"")</f>
        <v>0.246</v>
      </c>
      <c r="G20" s="299">
        <f>(1+hp_nhom)*D20*E20*F20</f>
        <v>0.27744864000000002</v>
      </c>
      <c r="H20" s="301">
        <f>gn_csl</f>
        <v>116300</v>
      </c>
      <c r="I20" s="301">
        <f>G20*H20</f>
        <v>32267.276832000003</v>
      </c>
      <c r="J20" s="294">
        <f>J18</f>
        <v>6.8000000000000005E-2</v>
      </c>
      <c r="K20" s="295"/>
    </row>
    <row r="21" spans="1:11" x14ac:dyDescent="0.3">
      <c r="A21" s="296" t="str">
        <f>IFERROR(INDEX(TENPROFILE,MATCH(B21,MAPROFILE,0)),"")</f>
        <v>Khung cánh sổ lùa</v>
      </c>
      <c r="B21" s="297" t="s">
        <v>51</v>
      </c>
      <c r="C21" s="298" t="s">
        <v>214</v>
      </c>
      <c r="D21" s="299">
        <f>INDEX($B$4:$C$11,MATCH(C21,$B$4:$B$11,0),2)-J21</f>
        <v>1.1319999999999999</v>
      </c>
      <c r="E21" s="297">
        <v>2</v>
      </c>
      <c r="F21" s="300">
        <f>IFERROR(VLOOKUP(B21,Alu_data,2,0),"")</f>
        <v>0.67600000000000005</v>
      </c>
      <c r="G21" s="299">
        <f>(1+hp_nhom)*D21*E21*F21</f>
        <v>1.6222918399999999</v>
      </c>
      <c r="H21" s="301">
        <f>gn_csl</f>
        <v>116300</v>
      </c>
      <c r="I21" s="301">
        <f>G21*H21</f>
        <v>188672.54099199999</v>
      </c>
      <c r="J21" s="294">
        <f>0.034*2</f>
        <v>6.8000000000000005E-2</v>
      </c>
      <c r="K21" s="295"/>
    </row>
    <row r="22" spans="1:11" x14ac:dyDescent="0.3">
      <c r="A22" s="296"/>
      <c r="B22" s="297"/>
      <c r="C22" s="298"/>
      <c r="D22" s="299"/>
      <c r="E22" s="297"/>
      <c r="F22" s="300"/>
      <c r="G22" s="299"/>
      <c r="H22" s="301"/>
      <c r="I22" s="301"/>
      <c r="J22" s="294"/>
      <c r="K22" s="295"/>
    </row>
    <row r="23" spans="1:11" x14ac:dyDescent="0.3">
      <c r="A23" s="296" t="str">
        <f>IFERROR(INDEX(TENPROFILE,MATCH(B23,MAPROFILE,0)),"")</f>
        <v>Ke góc</v>
      </c>
      <c r="B23" s="297" t="s">
        <v>33</v>
      </c>
      <c r="C23" s="298"/>
      <c r="D23" s="299">
        <v>0.05</v>
      </c>
      <c r="E23" s="297">
        <v>4</v>
      </c>
      <c r="F23" s="300">
        <f>IFERROR(VLOOKUP(B23,Alu_data,2,0),"")</f>
        <v>1.2315710499999999</v>
      </c>
      <c r="G23" s="299">
        <f>(1+hp_nhom)*D23*E23*F23</f>
        <v>0.26109306259999998</v>
      </c>
      <c r="H23" s="301">
        <f>gnt</f>
        <v>98000</v>
      </c>
      <c r="I23" s="301">
        <f>G23*H23</f>
        <v>25587.1201348</v>
      </c>
      <c r="J23" s="294"/>
      <c r="K23" s="295"/>
    </row>
    <row r="24" spans="1:11" x14ac:dyDescent="0.3">
      <c r="A24" s="296" t="str">
        <f>IFERROR(INDEX(TENPROFILE,MATCH(B24,MAPROFILE,0)),"")</f>
        <v>Ke khung cánh (hệ XingFa)</v>
      </c>
      <c r="B24" s="297" t="s">
        <v>66</v>
      </c>
      <c r="C24" s="298"/>
      <c r="D24" s="299">
        <v>0.05</v>
      </c>
      <c r="E24" s="297">
        <f>4*E18/2</f>
        <v>8</v>
      </c>
      <c r="F24" s="300">
        <f>IFERROR(VLOOKUP(B24,Alu_data,2,0),"")</f>
        <v>2.0640000000000001</v>
      </c>
      <c r="G24" s="299">
        <f>(1+hp_nhom)*D24*E24*F24</f>
        <v>0.87513600000000014</v>
      </c>
      <c r="H24" s="301">
        <f>gnt</f>
        <v>98000</v>
      </c>
      <c r="I24" s="301">
        <f>G24*H24</f>
        <v>85763.328000000009</v>
      </c>
      <c r="J24" s="294"/>
      <c r="K24" s="295"/>
    </row>
    <row r="25" spans="1:11" x14ac:dyDescent="0.3">
      <c r="A25" s="296"/>
      <c r="B25" s="297"/>
      <c r="C25" s="298"/>
      <c r="D25" s="299"/>
      <c r="E25" s="297"/>
      <c r="F25" s="300"/>
      <c r="G25" s="299"/>
      <c r="H25" s="301"/>
      <c r="I25" s="301"/>
      <c r="J25" s="294"/>
      <c r="K25" s="295"/>
    </row>
    <row r="26" spans="1:11" x14ac:dyDescent="0.3">
      <c r="A26" s="296"/>
      <c r="B26" s="297"/>
      <c r="C26" s="298"/>
      <c r="D26" s="299"/>
      <c r="E26" s="297"/>
      <c r="F26" s="300"/>
      <c r="G26" s="299"/>
      <c r="H26" s="301"/>
      <c r="I26" s="301"/>
      <c r="J26" s="294"/>
      <c r="K26" s="295"/>
    </row>
    <row r="27" spans="1:11" x14ac:dyDescent="0.3">
      <c r="A27" s="296"/>
      <c r="B27" s="297"/>
      <c r="C27" s="298"/>
      <c r="D27" s="299"/>
      <c r="E27" s="297"/>
      <c r="F27" s="300"/>
      <c r="G27" s="299"/>
      <c r="H27" s="301"/>
      <c r="I27" s="301"/>
      <c r="J27" s="294"/>
      <c r="K27" s="295"/>
    </row>
    <row r="28" spans="1:11" x14ac:dyDescent="0.3">
      <c r="A28" s="296"/>
      <c r="B28" s="297"/>
      <c r="C28" s="298"/>
      <c r="D28" s="299"/>
      <c r="E28" s="297"/>
      <c r="F28" s="300"/>
      <c r="G28" s="299"/>
      <c r="H28" s="301"/>
      <c r="I28" s="301"/>
      <c r="J28" s="294"/>
      <c r="K28" s="295"/>
    </row>
    <row r="29" spans="1:11" x14ac:dyDescent="0.3">
      <c r="A29" s="296"/>
      <c r="B29" s="297"/>
      <c r="C29" s="298"/>
      <c r="D29" s="299"/>
      <c r="E29" s="297"/>
      <c r="F29" s="300"/>
      <c r="G29" s="299"/>
      <c r="H29" s="301"/>
      <c r="I29" s="301"/>
      <c r="J29" s="294"/>
      <c r="K29" s="295"/>
    </row>
    <row r="30" spans="1:11" x14ac:dyDescent="0.3">
      <c r="A30" s="296"/>
      <c r="B30" s="297"/>
      <c r="C30" s="298"/>
      <c r="D30" s="299"/>
      <c r="E30" s="297"/>
      <c r="F30" s="300"/>
      <c r="G30" s="299"/>
      <c r="H30" s="301"/>
      <c r="I30" s="301"/>
      <c r="J30" s="294"/>
      <c r="K30" s="295"/>
    </row>
    <row r="31" spans="1:11" collapsed="1" x14ac:dyDescent="0.3">
      <c r="A31" s="296"/>
      <c r="B31" s="297"/>
      <c r="C31" s="298"/>
      <c r="D31" s="299"/>
      <c r="E31" s="297"/>
      <c r="F31" s="300"/>
      <c r="G31" s="299"/>
      <c r="H31" s="301"/>
      <c r="I31" s="301"/>
      <c r="J31" s="294"/>
      <c r="K31" s="295"/>
    </row>
    <row r="32" spans="1:11" hidden="1" outlineLevel="1" x14ac:dyDescent="0.3">
      <c r="A32" s="296"/>
      <c r="B32" s="297"/>
      <c r="C32" s="298"/>
      <c r="D32" s="299"/>
      <c r="E32" s="297"/>
      <c r="F32" s="300"/>
      <c r="G32" s="299"/>
      <c r="H32" s="301"/>
      <c r="I32" s="301"/>
      <c r="J32" s="294"/>
      <c r="K32" s="295"/>
    </row>
    <row r="33" spans="1:11" hidden="1" outlineLevel="1" x14ac:dyDescent="0.3">
      <c r="A33" s="296"/>
      <c r="B33" s="297"/>
      <c r="C33" s="298"/>
      <c r="D33" s="299"/>
      <c r="E33" s="297"/>
      <c r="F33" s="300"/>
      <c r="G33" s="299"/>
      <c r="H33" s="301"/>
      <c r="I33" s="301"/>
      <c r="J33" s="294"/>
      <c r="K33" s="295"/>
    </row>
    <row r="34" spans="1:11" hidden="1" outlineLevel="1" x14ac:dyDescent="0.3">
      <c r="A34" s="296"/>
      <c r="B34" s="297"/>
      <c r="C34" s="298"/>
      <c r="D34" s="299"/>
      <c r="E34" s="297"/>
      <c r="F34" s="300"/>
      <c r="G34" s="299"/>
      <c r="H34" s="301"/>
      <c r="I34" s="301"/>
      <c r="J34" s="294"/>
      <c r="K34" s="295"/>
    </row>
    <row r="35" spans="1:11" hidden="1" outlineLevel="1" x14ac:dyDescent="0.3">
      <c r="A35" s="296"/>
      <c r="B35" s="297"/>
      <c r="C35" s="298"/>
      <c r="D35" s="299"/>
      <c r="E35" s="297"/>
      <c r="F35" s="300"/>
      <c r="G35" s="299"/>
      <c r="H35" s="301"/>
      <c r="I35" s="301"/>
      <c r="J35" s="294"/>
      <c r="K35" s="295"/>
    </row>
    <row r="36" spans="1:11" hidden="1" outlineLevel="1" x14ac:dyDescent="0.3">
      <c r="A36" s="296"/>
      <c r="B36" s="297"/>
      <c r="C36" s="298"/>
      <c r="D36" s="299"/>
      <c r="E36" s="297"/>
      <c r="F36" s="300"/>
      <c r="G36" s="299"/>
      <c r="H36" s="301"/>
      <c r="I36" s="301"/>
      <c r="J36" s="294"/>
      <c r="K36" s="295"/>
    </row>
    <row r="37" spans="1:11" hidden="1" outlineLevel="1" x14ac:dyDescent="0.3">
      <c r="A37" s="296"/>
      <c r="B37" s="297"/>
      <c r="C37" s="298"/>
      <c r="D37" s="299"/>
      <c r="E37" s="297"/>
      <c r="F37" s="300"/>
      <c r="G37" s="299"/>
      <c r="H37" s="301"/>
      <c r="I37" s="301"/>
      <c r="J37" s="294"/>
      <c r="K37" s="295"/>
    </row>
    <row r="38" spans="1:11" hidden="1" outlineLevel="1" x14ac:dyDescent="0.3">
      <c r="A38" s="296"/>
      <c r="B38" s="297"/>
      <c r="C38" s="298"/>
      <c r="D38" s="299"/>
      <c r="E38" s="297"/>
      <c r="F38" s="300"/>
      <c r="G38" s="299"/>
      <c r="H38" s="301"/>
      <c r="I38" s="301"/>
      <c r="J38" s="294"/>
      <c r="K38" s="295"/>
    </row>
    <row r="39" spans="1:11" hidden="1" outlineLevel="1" x14ac:dyDescent="0.3">
      <c r="A39" s="296"/>
      <c r="B39" s="297"/>
      <c r="C39" s="298"/>
      <c r="D39" s="299"/>
      <c r="E39" s="297"/>
      <c r="F39" s="300"/>
      <c r="G39" s="299"/>
      <c r="H39" s="301"/>
      <c r="I39" s="301"/>
      <c r="J39" s="294"/>
      <c r="K39" s="295"/>
    </row>
    <row r="40" spans="1:11" hidden="1" outlineLevel="1" x14ac:dyDescent="0.3">
      <c r="A40" s="296"/>
      <c r="B40" s="297"/>
      <c r="C40" s="298"/>
      <c r="D40" s="299"/>
      <c r="E40" s="297"/>
      <c r="F40" s="300"/>
      <c r="G40" s="299"/>
      <c r="H40" s="301"/>
      <c r="I40" s="301"/>
      <c r="J40" s="294"/>
      <c r="K40" s="295"/>
    </row>
    <row r="41" spans="1:11" hidden="1" outlineLevel="1" x14ac:dyDescent="0.3">
      <c r="A41" s="296"/>
      <c r="B41" s="297"/>
      <c r="C41" s="298"/>
      <c r="D41" s="299"/>
      <c r="E41" s="297"/>
      <c r="F41" s="300"/>
      <c r="G41" s="299"/>
      <c r="H41" s="301"/>
      <c r="I41" s="301"/>
      <c r="J41" s="294"/>
      <c r="K41" s="295"/>
    </row>
    <row r="42" spans="1:11" hidden="1" outlineLevel="1" x14ac:dyDescent="0.3">
      <c r="A42" s="296"/>
      <c r="B42" s="297"/>
      <c r="C42" s="298"/>
      <c r="D42" s="299"/>
      <c r="E42" s="297"/>
      <c r="F42" s="300"/>
      <c r="G42" s="299"/>
      <c r="H42" s="301"/>
      <c r="I42" s="301"/>
      <c r="J42" s="294"/>
      <c r="K42" s="295"/>
    </row>
    <row r="43" spans="1:11" hidden="1" outlineLevel="1" collapsed="1" x14ac:dyDescent="0.3">
      <c r="A43" s="296"/>
      <c r="B43" s="297"/>
      <c r="C43" s="298"/>
      <c r="D43" s="299"/>
      <c r="E43" s="297"/>
      <c r="F43" s="300"/>
      <c r="G43" s="299"/>
      <c r="H43" s="301"/>
      <c r="I43" s="301"/>
      <c r="J43" s="294"/>
      <c r="K43" s="295"/>
    </row>
    <row r="44" spans="1:11" hidden="1" outlineLevel="1" x14ac:dyDescent="0.3">
      <c r="A44" s="302"/>
      <c r="B44" s="297"/>
      <c r="C44" s="298"/>
      <c r="D44" s="299"/>
      <c r="E44" s="297"/>
      <c r="F44" s="300"/>
      <c r="G44" s="299"/>
      <c r="H44" s="301"/>
      <c r="I44" s="301"/>
      <c r="J44" s="294"/>
      <c r="K44" s="295"/>
    </row>
    <row r="45" spans="1:11" hidden="1" outlineLevel="1" x14ac:dyDescent="0.3">
      <c r="A45" s="302"/>
      <c r="B45" s="297"/>
      <c r="C45" s="298"/>
      <c r="D45" s="299"/>
      <c r="E45" s="297"/>
      <c r="F45" s="300"/>
      <c r="G45" s="299"/>
      <c r="H45" s="301"/>
      <c r="I45" s="301"/>
      <c r="J45" s="294"/>
      <c r="K45" s="295"/>
    </row>
    <row r="46" spans="1:11" hidden="1" outlineLevel="1" x14ac:dyDescent="0.3">
      <c r="A46" s="302"/>
      <c r="B46" s="297"/>
      <c r="C46" s="298"/>
      <c r="D46" s="299"/>
      <c r="E46" s="297"/>
      <c r="F46" s="300"/>
      <c r="G46" s="299"/>
      <c r="H46" s="301"/>
      <c r="I46" s="301"/>
      <c r="J46" s="294"/>
      <c r="K46" s="295"/>
    </row>
    <row r="47" spans="1:11" hidden="1" outlineLevel="1" x14ac:dyDescent="0.3">
      <c r="A47" s="302"/>
      <c r="B47" s="297"/>
      <c r="C47" s="298"/>
      <c r="D47" s="299"/>
      <c r="E47" s="297"/>
      <c r="F47" s="300"/>
      <c r="G47" s="299"/>
      <c r="H47" s="301"/>
      <c r="I47" s="301"/>
      <c r="J47" s="294"/>
      <c r="K47" s="295"/>
    </row>
    <row r="48" spans="1:11" hidden="1" outlineLevel="1" x14ac:dyDescent="0.3">
      <c r="A48" s="302"/>
      <c r="B48" s="297"/>
      <c r="C48" s="298"/>
      <c r="D48" s="299"/>
      <c r="E48" s="297"/>
      <c r="F48" s="300"/>
      <c r="G48" s="299"/>
      <c r="H48" s="301"/>
      <c r="I48" s="301"/>
      <c r="J48" s="294"/>
      <c r="K48" s="295"/>
    </row>
    <row r="49" spans="1:11" hidden="1" outlineLevel="1" x14ac:dyDescent="0.3">
      <c r="A49" s="302"/>
      <c r="B49" s="297"/>
      <c r="C49" s="298"/>
      <c r="D49" s="299"/>
      <c r="E49" s="297"/>
      <c r="F49" s="300"/>
      <c r="G49" s="299"/>
      <c r="H49" s="301"/>
      <c r="I49" s="301"/>
      <c r="J49" s="294"/>
      <c r="K49" s="295"/>
    </row>
    <row r="50" spans="1:11" hidden="1" outlineLevel="1" x14ac:dyDescent="0.3">
      <c r="A50" s="302"/>
      <c r="B50" s="297"/>
      <c r="C50" s="298"/>
      <c r="D50" s="299"/>
      <c r="E50" s="297"/>
      <c r="F50" s="300"/>
      <c r="G50" s="299"/>
      <c r="H50" s="301"/>
      <c r="I50" s="301"/>
      <c r="J50" s="294"/>
      <c r="K50" s="295"/>
    </row>
    <row r="51" spans="1:11" hidden="1" outlineLevel="1" x14ac:dyDescent="0.3">
      <c r="A51" s="302"/>
      <c r="B51" s="297"/>
      <c r="C51" s="298"/>
      <c r="D51" s="299"/>
      <c r="E51" s="297"/>
      <c r="F51" s="300"/>
      <c r="G51" s="299"/>
      <c r="H51" s="301"/>
      <c r="I51" s="301"/>
      <c r="J51" s="294"/>
      <c r="K51" s="295"/>
    </row>
    <row r="52" spans="1:11" hidden="1" outlineLevel="1" x14ac:dyDescent="0.3">
      <c r="A52" s="302"/>
      <c r="B52" s="297"/>
      <c r="C52" s="298"/>
      <c r="D52" s="299"/>
      <c r="E52" s="297"/>
      <c r="F52" s="300"/>
      <c r="G52" s="299"/>
      <c r="H52" s="301"/>
      <c r="I52" s="301"/>
      <c r="J52" s="294"/>
      <c r="K52" s="295"/>
    </row>
    <row r="53" spans="1:11" hidden="1" outlineLevel="1" x14ac:dyDescent="0.3">
      <c r="A53" s="302"/>
      <c r="B53" s="297"/>
      <c r="C53" s="298"/>
      <c r="D53" s="299"/>
      <c r="E53" s="297"/>
      <c r="F53" s="300"/>
      <c r="G53" s="299"/>
      <c r="H53" s="301"/>
      <c r="I53" s="301"/>
      <c r="J53" s="294"/>
      <c r="K53" s="295"/>
    </row>
    <row r="54" spans="1:11" hidden="1" outlineLevel="1" x14ac:dyDescent="0.3">
      <c r="A54" s="302"/>
      <c r="B54" s="297"/>
      <c r="C54" s="298"/>
      <c r="D54" s="299"/>
      <c r="E54" s="297"/>
      <c r="F54" s="300"/>
      <c r="G54" s="299"/>
      <c r="H54" s="301"/>
      <c r="I54" s="301"/>
      <c r="J54" s="294"/>
      <c r="K54" s="295"/>
    </row>
    <row r="55" spans="1:11" hidden="1" outlineLevel="1" x14ac:dyDescent="0.3">
      <c r="A55" s="302"/>
      <c r="B55" s="297"/>
      <c r="C55" s="298"/>
      <c r="D55" s="299"/>
      <c r="E55" s="297"/>
      <c r="F55" s="300"/>
      <c r="G55" s="299"/>
      <c r="H55" s="301"/>
      <c r="I55" s="301"/>
      <c r="J55" s="294"/>
      <c r="K55" s="295"/>
    </row>
    <row r="56" spans="1:11" hidden="1" outlineLevel="1" x14ac:dyDescent="0.3">
      <c r="A56" s="302"/>
      <c r="B56" s="297"/>
      <c r="C56" s="298"/>
      <c r="D56" s="299"/>
      <c r="E56" s="297"/>
      <c r="F56" s="300"/>
      <c r="G56" s="299"/>
      <c r="H56" s="301"/>
      <c r="I56" s="301"/>
      <c r="J56" s="294"/>
      <c r="K56" s="295"/>
    </row>
    <row r="57" spans="1:11" hidden="1" outlineLevel="1" x14ac:dyDescent="0.3">
      <c r="A57" s="302"/>
      <c r="B57" s="297"/>
      <c r="C57" s="298"/>
      <c r="D57" s="299"/>
      <c r="E57" s="297"/>
      <c r="F57" s="300"/>
      <c r="G57" s="299"/>
      <c r="H57" s="301"/>
      <c r="I57" s="301"/>
      <c r="J57" s="294"/>
      <c r="K57" s="295"/>
    </row>
    <row r="58" spans="1:11" hidden="1" outlineLevel="1" x14ac:dyDescent="0.3">
      <c r="A58" s="302"/>
      <c r="B58" s="297"/>
      <c r="C58" s="298"/>
      <c r="D58" s="299"/>
      <c r="E58" s="297"/>
      <c r="F58" s="300"/>
      <c r="G58" s="299"/>
      <c r="H58" s="301"/>
      <c r="I58" s="301"/>
      <c r="J58" s="294"/>
      <c r="K58" s="295"/>
    </row>
    <row r="59" spans="1:11" hidden="1" outlineLevel="1" x14ac:dyDescent="0.3">
      <c r="A59" s="302"/>
      <c r="B59" s="297"/>
      <c r="C59" s="298"/>
      <c r="D59" s="299"/>
      <c r="E59" s="297"/>
      <c r="F59" s="300"/>
      <c r="G59" s="299"/>
      <c r="H59" s="301"/>
      <c r="I59" s="301"/>
      <c r="J59" s="294"/>
      <c r="K59" s="295"/>
    </row>
    <row r="60" spans="1:11" hidden="1" outlineLevel="1" x14ac:dyDescent="0.3">
      <c r="A60" s="302"/>
      <c r="B60" s="297"/>
      <c r="C60" s="298"/>
      <c r="D60" s="299"/>
      <c r="E60" s="297"/>
      <c r="F60" s="300"/>
      <c r="G60" s="299"/>
      <c r="H60" s="301"/>
      <c r="I60" s="301"/>
      <c r="J60" s="294"/>
      <c r="K60" s="295"/>
    </row>
    <row r="61" spans="1:11" hidden="1" outlineLevel="1" x14ac:dyDescent="0.3">
      <c r="A61" s="302"/>
      <c r="B61" s="297"/>
      <c r="C61" s="298"/>
      <c r="D61" s="299"/>
      <c r="E61" s="297"/>
      <c r="F61" s="300"/>
      <c r="G61" s="299"/>
      <c r="H61" s="301"/>
      <c r="I61" s="301"/>
      <c r="J61" s="294"/>
      <c r="K61" s="295"/>
    </row>
    <row r="62" spans="1:11" hidden="1" outlineLevel="1" x14ac:dyDescent="0.3">
      <c r="A62" s="302"/>
      <c r="B62" s="297"/>
      <c r="C62" s="298"/>
      <c r="D62" s="299"/>
      <c r="E62" s="297"/>
      <c r="F62" s="300"/>
      <c r="G62" s="299"/>
      <c r="H62" s="301"/>
      <c r="I62" s="301"/>
      <c r="J62" s="294"/>
      <c r="K62" s="295"/>
    </row>
    <row r="63" spans="1:11" hidden="1" outlineLevel="1" x14ac:dyDescent="0.3">
      <c r="A63" s="302"/>
      <c r="B63" s="297"/>
      <c r="C63" s="298"/>
      <c r="D63" s="299"/>
      <c r="E63" s="297"/>
      <c r="F63" s="300"/>
      <c r="G63" s="299"/>
      <c r="H63" s="301"/>
      <c r="I63" s="301"/>
      <c r="J63" s="294"/>
      <c r="K63" s="295"/>
    </row>
    <row r="64" spans="1:11" hidden="1" outlineLevel="1" x14ac:dyDescent="0.3">
      <c r="A64" s="302"/>
      <c r="B64" s="297"/>
      <c r="C64" s="298"/>
      <c r="D64" s="299"/>
      <c r="E64" s="297"/>
      <c r="F64" s="300"/>
      <c r="G64" s="299"/>
      <c r="H64" s="301"/>
      <c r="I64" s="301"/>
      <c r="J64" s="294"/>
      <c r="K64" s="295"/>
    </row>
    <row r="65" spans="1:12" hidden="1" outlineLevel="1" x14ac:dyDescent="0.3">
      <c r="A65" s="302"/>
      <c r="B65" s="297"/>
      <c r="C65" s="298"/>
      <c r="D65" s="299"/>
      <c r="E65" s="297"/>
      <c r="F65" s="300"/>
      <c r="G65" s="299"/>
      <c r="H65" s="301"/>
      <c r="I65" s="301"/>
      <c r="J65" s="294"/>
      <c r="K65" s="295"/>
    </row>
    <row r="66" spans="1:12" hidden="1" outlineLevel="1" x14ac:dyDescent="0.3">
      <c r="A66" s="302"/>
      <c r="B66" s="297"/>
      <c r="C66" s="298"/>
      <c r="D66" s="299"/>
      <c r="E66" s="297"/>
      <c r="F66" s="300"/>
      <c r="G66" s="299"/>
      <c r="H66" s="301"/>
      <c r="I66" s="301"/>
      <c r="J66" s="294"/>
      <c r="K66" s="295"/>
    </row>
    <row r="67" spans="1:12" hidden="1" outlineLevel="1" x14ac:dyDescent="0.3">
      <c r="A67" s="302"/>
      <c r="B67" s="297"/>
      <c r="C67" s="298"/>
      <c r="D67" s="299"/>
      <c r="E67" s="297"/>
      <c r="F67" s="300"/>
      <c r="G67" s="299"/>
      <c r="H67" s="301"/>
      <c r="I67" s="301"/>
      <c r="J67" s="294"/>
      <c r="K67" s="295"/>
    </row>
    <row r="68" spans="1:12" hidden="1" outlineLevel="1" x14ac:dyDescent="0.3">
      <c r="A68" s="302"/>
      <c r="B68" s="297"/>
      <c r="C68" s="298"/>
      <c r="D68" s="299"/>
      <c r="E68" s="297"/>
      <c r="F68" s="300"/>
      <c r="G68" s="299"/>
      <c r="H68" s="301"/>
      <c r="I68" s="301"/>
      <c r="J68" s="294"/>
      <c r="K68" s="295"/>
    </row>
    <row r="69" spans="1:12" hidden="1" outlineLevel="1" x14ac:dyDescent="0.3">
      <c r="A69" s="302"/>
      <c r="B69" s="297"/>
      <c r="C69" s="298"/>
      <c r="D69" s="299"/>
      <c r="E69" s="297"/>
      <c r="F69" s="300"/>
      <c r="G69" s="299"/>
      <c r="H69" s="301"/>
      <c r="I69" s="301"/>
      <c r="J69" s="294"/>
      <c r="K69" s="295"/>
    </row>
    <row r="70" spans="1:12" hidden="1" outlineLevel="1" x14ac:dyDescent="0.3">
      <c r="A70" s="302"/>
      <c r="B70" s="297"/>
      <c r="C70" s="298"/>
      <c r="D70" s="299"/>
      <c r="E70" s="297"/>
      <c r="F70" s="300"/>
      <c r="G70" s="299"/>
      <c r="H70" s="301"/>
      <c r="I70" s="301"/>
      <c r="J70" s="294"/>
      <c r="K70" s="295"/>
    </row>
    <row r="71" spans="1:12" hidden="1" outlineLevel="1" x14ac:dyDescent="0.3">
      <c r="A71" s="303"/>
      <c r="B71" s="304"/>
      <c r="C71" s="305"/>
      <c r="D71" s="306"/>
      <c r="E71" s="304"/>
      <c r="F71" s="307"/>
      <c r="G71" s="306"/>
      <c r="H71" s="308"/>
      <c r="I71" s="308"/>
      <c r="J71" s="294"/>
      <c r="K71" s="295"/>
    </row>
    <row r="72" spans="1:12" x14ac:dyDescent="0.3">
      <c r="A72" s="282" t="s">
        <v>233</v>
      </c>
      <c r="B72" s="309" t="s">
        <v>234</v>
      </c>
      <c r="C72" s="309" t="s">
        <v>235</v>
      </c>
      <c r="D72" s="282" t="s">
        <v>236</v>
      </c>
      <c r="E72" s="282"/>
      <c r="F72" s="310"/>
      <c r="G72" s="309"/>
      <c r="H72" s="311"/>
      <c r="I72" s="287">
        <f>SUBTOTAL(9,I73:I111)</f>
        <v>116100</v>
      </c>
    </row>
    <row r="73" spans="1:12" x14ac:dyDescent="0.3">
      <c r="A73" s="312" t="str">
        <f>_xlfn.IFNA(INDEX(diengiaivattu,MATCH(B73,mavattu,0),0),0)</f>
        <v>Bơm Foam</v>
      </c>
      <c r="B73" s="313" t="s">
        <v>98</v>
      </c>
      <c r="C73" s="291" t="str">
        <f>_xlfn.IFNA(INDEX(donvivattu,MATCH(B73,mavattu,0),0),0)</f>
        <v>Mét</v>
      </c>
      <c r="D73" s="314"/>
      <c r="E73" s="315">
        <f>(C6+C7)*2</f>
        <v>3.5999999999999996</v>
      </c>
      <c r="F73" s="316"/>
      <c r="G73" s="317">
        <f>E73</f>
        <v>3.5999999999999996</v>
      </c>
      <c r="H73" s="318">
        <f>_xlfn.IFNA(INDEX(dongiavattu,MATCH(B73,mavattu,0),0),0)</f>
        <v>20000</v>
      </c>
      <c r="I73" s="318">
        <f>G73*H73</f>
        <v>72000</v>
      </c>
      <c r="L73" s="319"/>
    </row>
    <row r="74" spans="1:12" x14ac:dyDescent="0.3">
      <c r="A74" s="302" t="str">
        <f>_xlfn.IFNA(INDEX(diengiaivattu,MATCH(B74,mavattu,0),0),0)</f>
        <v>Ốc vít</v>
      </c>
      <c r="B74" s="297" t="s">
        <v>100</v>
      </c>
      <c r="C74" s="320" t="str">
        <f>_xlfn.IFNA(INDEX(donvivattu,MATCH(B74,mavattu,0),0),0)</f>
        <v>Cái</v>
      </c>
      <c r="D74" s="321"/>
      <c r="E74" s="322">
        <f>15+E23*4+E24*4+ROUNDUP(D19/0.5,0)*E19</f>
        <v>63</v>
      </c>
      <c r="F74" s="323"/>
      <c r="G74" s="324">
        <f>E74*(1+hp_vtk)</f>
        <v>66.150000000000006</v>
      </c>
      <c r="H74" s="301">
        <f>_xlfn.IFNA(INDEX(dongiavattu,MATCH(B74,mavattu,0),0),0)</f>
        <v>600</v>
      </c>
      <c r="I74" s="301">
        <f>G74*H74</f>
        <v>39690</v>
      </c>
    </row>
    <row r="75" spans="1:12" x14ac:dyDescent="0.3">
      <c r="A75" s="302" t="str">
        <f>_xlfn.IFNA(INDEX(diengiaivattu,MATCH(B75,mavattu,0),0),0)</f>
        <v>Nút bịt nhựa</v>
      </c>
      <c r="B75" s="297" t="s">
        <v>99</v>
      </c>
      <c r="C75" s="320" t="str">
        <f>_xlfn.IFNA(INDEX(donvivattu,MATCH(B75,mavattu,0),0),0)</f>
        <v>Cái</v>
      </c>
      <c r="D75" s="321"/>
      <c r="E75" s="322">
        <f>ROUNDUP(C6/0.5,0)*2</f>
        <v>6</v>
      </c>
      <c r="F75" s="323"/>
      <c r="G75" s="324">
        <f>E75*(1+hp_vtk)</f>
        <v>6.3000000000000007</v>
      </c>
      <c r="H75" s="301">
        <f>_xlfn.IFNA(INDEX(dongiavattu,MATCH(B75,mavattu,0),0),0)</f>
        <v>700</v>
      </c>
      <c r="I75" s="301">
        <f>G75*H75</f>
        <v>4410.0000000000009</v>
      </c>
    </row>
    <row r="76" spans="1:12" x14ac:dyDescent="0.3">
      <c r="A76" s="302">
        <f>_xlfn.IFNA(INDEX(diengiaivattu,MATCH(B76,mavattu,0),0),0)</f>
        <v>0</v>
      </c>
      <c r="B76" s="297"/>
      <c r="C76" s="320"/>
      <c r="D76" s="321"/>
      <c r="E76" s="325"/>
      <c r="F76" s="323"/>
      <c r="G76" s="324"/>
      <c r="H76" s="301"/>
      <c r="I76" s="301"/>
    </row>
    <row r="77" spans="1:12" x14ac:dyDescent="0.3">
      <c r="A77" s="302"/>
      <c r="B77" s="297"/>
      <c r="C77" s="320"/>
      <c r="D77" s="321"/>
      <c r="E77" s="297"/>
      <c r="F77" s="323"/>
      <c r="G77" s="324"/>
      <c r="H77" s="301"/>
      <c r="I77" s="301"/>
    </row>
    <row r="78" spans="1:12" collapsed="1" x14ac:dyDescent="0.3">
      <c r="A78" s="302"/>
      <c r="B78" s="297"/>
      <c r="C78" s="320"/>
      <c r="D78" s="321"/>
      <c r="E78" s="297"/>
      <c r="F78" s="323"/>
      <c r="G78" s="324"/>
      <c r="H78" s="301"/>
      <c r="I78" s="301"/>
    </row>
    <row r="79" spans="1:12" hidden="1" outlineLevel="1" x14ac:dyDescent="0.3">
      <c r="A79" s="302"/>
      <c r="B79" s="297"/>
      <c r="C79" s="320"/>
      <c r="D79" s="321"/>
      <c r="E79" s="297"/>
      <c r="F79" s="323"/>
      <c r="G79" s="324"/>
      <c r="H79" s="301"/>
      <c r="I79" s="301"/>
    </row>
    <row r="80" spans="1:12" hidden="1" outlineLevel="1" x14ac:dyDescent="0.3">
      <c r="A80" s="302"/>
      <c r="B80" s="297"/>
      <c r="C80" s="320"/>
      <c r="D80" s="321"/>
      <c r="E80" s="297"/>
      <c r="F80" s="323"/>
      <c r="G80" s="324"/>
      <c r="H80" s="301"/>
      <c r="I80" s="301"/>
    </row>
    <row r="81" spans="1:9" hidden="1" outlineLevel="1" x14ac:dyDescent="0.3">
      <c r="A81" s="302"/>
      <c r="B81" s="297"/>
      <c r="C81" s="320"/>
      <c r="D81" s="321"/>
      <c r="E81" s="297"/>
      <c r="F81" s="323"/>
      <c r="G81" s="324"/>
      <c r="H81" s="301"/>
      <c r="I81" s="301"/>
    </row>
    <row r="82" spans="1:9" hidden="1" outlineLevel="1" x14ac:dyDescent="0.3">
      <c r="A82" s="302"/>
      <c r="B82" s="297"/>
      <c r="C82" s="320"/>
      <c r="D82" s="321"/>
      <c r="E82" s="297"/>
      <c r="F82" s="323"/>
      <c r="G82" s="324"/>
      <c r="H82" s="301"/>
      <c r="I82" s="301"/>
    </row>
    <row r="83" spans="1:9" hidden="1" outlineLevel="1" x14ac:dyDescent="0.3">
      <c r="A83" s="302"/>
      <c r="B83" s="297"/>
      <c r="C83" s="320"/>
      <c r="D83" s="321"/>
      <c r="E83" s="297"/>
      <c r="F83" s="323"/>
      <c r="G83" s="324"/>
      <c r="H83" s="301"/>
      <c r="I83" s="301"/>
    </row>
    <row r="84" spans="1:9" hidden="1" outlineLevel="1" collapsed="1" x14ac:dyDescent="0.3">
      <c r="A84" s="302"/>
      <c r="B84" s="297"/>
      <c r="C84" s="320"/>
      <c r="D84" s="321"/>
      <c r="E84" s="297"/>
      <c r="F84" s="323"/>
      <c r="G84" s="324"/>
      <c r="H84" s="301"/>
      <c r="I84" s="301"/>
    </row>
    <row r="85" spans="1:9" hidden="1" outlineLevel="1" x14ac:dyDescent="0.3">
      <c r="A85" s="302"/>
      <c r="B85" s="297"/>
      <c r="C85" s="320"/>
      <c r="D85" s="321"/>
      <c r="E85" s="297"/>
      <c r="F85" s="323"/>
      <c r="G85" s="324"/>
      <c r="H85" s="301"/>
      <c r="I85" s="301"/>
    </row>
    <row r="86" spans="1:9" hidden="1" outlineLevel="1" x14ac:dyDescent="0.3">
      <c r="A86" s="302"/>
      <c r="B86" s="297"/>
      <c r="C86" s="320"/>
      <c r="D86" s="321"/>
      <c r="E86" s="297"/>
      <c r="F86" s="323"/>
      <c r="G86" s="324"/>
      <c r="H86" s="301"/>
      <c r="I86" s="301"/>
    </row>
    <row r="87" spans="1:9" hidden="1" outlineLevel="1" x14ac:dyDescent="0.3">
      <c r="A87" s="302"/>
      <c r="B87" s="297"/>
      <c r="C87" s="320"/>
      <c r="D87" s="321"/>
      <c r="E87" s="297"/>
      <c r="F87" s="323"/>
      <c r="G87" s="324"/>
      <c r="H87" s="301"/>
      <c r="I87" s="301"/>
    </row>
    <row r="88" spans="1:9" hidden="1" outlineLevel="1" x14ac:dyDescent="0.3">
      <c r="A88" s="302"/>
      <c r="B88" s="297"/>
      <c r="C88" s="320"/>
      <c r="D88" s="321"/>
      <c r="E88" s="297"/>
      <c r="F88" s="323"/>
      <c r="G88" s="324"/>
      <c r="H88" s="301"/>
      <c r="I88" s="301"/>
    </row>
    <row r="89" spans="1:9" hidden="1" outlineLevel="1" x14ac:dyDescent="0.3">
      <c r="A89" s="302"/>
      <c r="B89" s="297"/>
      <c r="C89" s="320"/>
      <c r="D89" s="321"/>
      <c r="E89" s="297"/>
      <c r="F89" s="323"/>
      <c r="G89" s="324"/>
      <c r="H89" s="301"/>
      <c r="I89" s="301"/>
    </row>
    <row r="90" spans="1:9" hidden="1" outlineLevel="1" x14ac:dyDescent="0.3">
      <c r="A90" s="302"/>
      <c r="B90" s="297"/>
      <c r="C90" s="320"/>
      <c r="D90" s="321"/>
      <c r="E90" s="297"/>
      <c r="F90" s="323"/>
      <c r="G90" s="324"/>
      <c r="H90" s="301"/>
      <c r="I90" s="301"/>
    </row>
    <row r="91" spans="1:9" hidden="1" outlineLevel="1" x14ac:dyDescent="0.3">
      <c r="A91" s="302"/>
      <c r="B91" s="297"/>
      <c r="C91" s="320"/>
      <c r="D91" s="321"/>
      <c r="E91" s="297"/>
      <c r="F91" s="323"/>
      <c r="G91" s="324"/>
      <c r="H91" s="301"/>
      <c r="I91" s="301"/>
    </row>
    <row r="92" spans="1:9" hidden="1" outlineLevel="1" x14ac:dyDescent="0.3">
      <c r="A92" s="302"/>
      <c r="B92" s="297"/>
      <c r="C92" s="320"/>
      <c r="D92" s="321"/>
      <c r="E92" s="297"/>
      <c r="F92" s="323"/>
      <c r="G92" s="324"/>
      <c r="H92" s="301"/>
      <c r="I92" s="301"/>
    </row>
    <row r="93" spans="1:9" hidden="1" outlineLevel="1" x14ac:dyDescent="0.3">
      <c r="A93" s="302"/>
      <c r="B93" s="297"/>
      <c r="C93" s="320"/>
      <c r="D93" s="321"/>
      <c r="E93" s="297"/>
      <c r="F93" s="323"/>
      <c r="G93" s="324"/>
      <c r="H93" s="301"/>
      <c r="I93" s="301"/>
    </row>
    <row r="94" spans="1:9" hidden="1" outlineLevel="1" x14ac:dyDescent="0.3">
      <c r="A94" s="302"/>
      <c r="B94" s="297"/>
      <c r="C94" s="320"/>
      <c r="D94" s="321"/>
      <c r="E94" s="297"/>
      <c r="F94" s="323"/>
      <c r="G94" s="324"/>
      <c r="H94" s="301"/>
      <c r="I94" s="301"/>
    </row>
    <row r="95" spans="1:9" hidden="1" outlineLevel="1" x14ac:dyDescent="0.3">
      <c r="A95" s="302"/>
      <c r="B95" s="297"/>
      <c r="C95" s="320"/>
      <c r="D95" s="321"/>
      <c r="E95" s="297"/>
      <c r="F95" s="323"/>
      <c r="G95" s="324"/>
      <c r="H95" s="301"/>
      <c r="I95" s="301"/>
    </row>
    <row r="96" spans="1:9" hidden="1" outlineLevel="1" x14ac:dyDescent="0.3">
      <c r="A96" s="302"/>
      <c r="B96" s="297"/>
      <c r="C96" s="320"/>
      <c r="D96" s="321"/>
      <c r="E96" s="297"/>
      <c r="F96" s="323"/>
      <c r="G96" s="324"/>
      <c r="H96" s="301"/>
      <c r="I96" s="301"/>
    </row>
    <row r="97" spans="1:9" hidden="1" outlineLevel="1" x14ac:dyDescent="0.3">
      <c r="A97" s="302"/>
      <c r="B97" s="297"/>
      <c r="C97" s="320"/>
      <c r="D97" s="321"/>
      <c r="E97" s="297"/>
      <c r="F97" s="323"/>
      <c r="G97" s="324"/>
      <c r="H97" s="301"/>
      <c r="I97" s="301"/>
    </row>
    <row r="98" spans="1:9" hidden="1" outlineLevel="1" x14ac:dyDescent="0.3">
      <c r="A98" s="302"/>
      <c r="B98" s="297"/>
      <c r="C98" s="320"/>
      <c r="D98" s="321"/>
      <c r="E98" s="297"/>
      <c r="F98" s="323"/>
      <c r="G98" s="324"/>
      <c r="H98" s="301"/>
      <c r="I98" s="301"/>
    </row>
    <row r="99" spans="1:9" hidden="1" outlineLevel="1" x14ac:dyDescent="0.3">
      <c r="A99" s="302"/>
      <c r="B99" s="297"/>
      <c r="C99" s="320"/>
      <c r="D99" s="321"/>
      <c r="E99" s="297"/>
      <c r="F99" s="323"/>
      <c r="G99" s="324"/>
      <c r="H99" s="301"/>
      <c r="I99" s="301"/>
    </row>
    <row r="100" spans="1:9" hidden="1" outlineLevel="1" x14ac:dyDescent="0.3">
      <c r="A100" s="302"/>
      <c r="B100" s="297"/>
      <c r="C100" s="320"/>
      <c r="D100" s="321"/>
      <c r="E100" s="297"/>
      <c r="F100" s="323"/>
      <c r="G100" s="324"/>
      <c r="H100" s="301"/>
      <c r="I100" s="301"/>
    </row>
    <row r="101" spans="1:9" hidden="1" outlineLevel="1" x14ac:dyDescent="0.3">
      <c r="A101" s="302"/>
      <c r="B101" s="297"/>
      <c r="C101" s="320"/>
      <c r="D101" s="321"/>
      <c r="E101" s="297"/>
      <c r="F101" s="323"/>
      <c r="G101" s="324"/>
      <c r="H101" s="301"/>
      <c r="I101" s="301"/>
    </row>
    <row r="102" spans="1:9" hidden="1" outlineLevel="1" x14ac:dyDescent="0.3">
      <c r="A102" s="302"/>
      <c r="B102" s="297"/>
      <c r="C102" s="320"/>
      <c r="D102" s="321"/>
      <c r="E102" s="297"/>
      <c r="F102" s="323"/>
      <c r="G102" s="324"/>
      <c r="H102" s="301"/>
      <c r="I102" s="301"/>
    </row>
    <row r="103" spans="1:9" hidden="1" outlineLevel="1" x14ac:dyDescent="0.3">
      <c r="A103" s="302"/>
      <c r="B103" s="297"/>
      <c r="C103" s="320"/>
      <c r="D103" s="321"/>
      <c r="E103" s="297"/>
      <c r="F103" s="323"/>
      <c r="G103" s="324"/>
      <c r="H103" s="301"/>
      <c r="I103" s="301"/>
    </row>
    <row r="104" spans="1:9" hidden="1" outlineLevel="1" x14ac:dyDescent="0.3">
      <c r="A104" s="302"/>
      <c r="B104" s="297"/>
      <c r="C104" s="320"/>
      <c r="D104" s="321"/>
      <c r="E104" s="297"/>
      <c r="F104" s="323"/>
      <c r="G104" s="324"/>
      <c r="H104" s="301"/>
      <c r="I104" s="301"/>
    </row>
    <row r="105" spans="1:9" hidden="1" outlineLevel="1" x14ac:dyDescent="0.3">
      <c r="A105" s="302"/>
      <c r="B105" s="297"/>
      <c r="C105" s="320"/>
      <c r="D105" s="321"/>
      <c r="E105" s="297"/>
      <c r="F105" s="323"/>
      <c r="G105" s="324"/>
      <c r="H105" s="301"/>
      <c r="I105" s="301"/>
    </row>
    <row r="106" spans="1:9" hidden="1" outlineLevel="1" x14ac:dyDescent="0.3">
      <c r="A106" s="302"/>
      <c r="B106" s="297"/>
      <c r="C106" s="320"/>
      <c r="D106" s="321"/>
      <c r="E106" s="297"/>
      <c r="F106" s="323"/>
      <c r="G106" s="324"/>
      <c r="H106" s="301"/>
      <c r="I106" s="301"/>
    </row>
    <row r="107" spans="1:9" hidden="1" outlineLevel="1" x14ac:dyDescent="0.3">
      <c r="A107" s="302"/>
      <c r="B107" s="297"/>
      <c r="C107" s="320"/>
      <c r="D107" s="321"/>
      <c r="E107" s="297"/>
      <c r="F107" s="323"/>
      <c r="G107" s="324"/>
      <c r="H107" s="301"/>
      <c r="I107" s="301"/>
    </row>
    <row r="108" spans="1:9" hidden="1" outlineLevel="1" x14ac:dyDescent="0.3">
      <c r="A108" s="302"/>
      <c r="B108" s="297"/>
      <c r="C108" s="320"/>
      <c r="D108" s="321"/>
      <c r="E108" s="297"/>
      <c r="F108" s="323"/>
      <c r="G108" s="324"/>
      <c r="H108" s="301"/>
      <c r="I108" s="301"/>
    </row>
    <row r="109" spans="1:9" hidden="1" outlineLevel="1" x14ac:dyDescent="0.3">
      <c r="A109" s="302"/>
      <c r="B109" s="297"/>
      <c r="C109" s="320"/>
      <c r="D109" s="321"/>
      <c r="E109" s="297"/>
      <c r="F109" s="323"/>
      <c r="G109" s="324"/>
      <c r="H109" s="301"/>
      <c r="I109" s="301"/>
    </row>
    <row r="110" spans="1:9" hidden="1" outlineLevel="1" x14ac:dyDescent="0.3">
      <c r="A110" s="302"/>
      <c r="B110" s="297"/>
      <c r="C110" s="320"/>
      <c r="D110" s="321"/>
      <c r="E110" s="297"/>
      <c r="F110" s="323"/>
      <c r="G110" s="324"/>
      <c r="H110" s="301"/>
      <c r="I110" s="301"/>
    </row>
    <row r="111" spans="1:9" hidden="1" outlineLevel="1" x14ac:dyDescent="0.3">
      <c r="A111" s="303"/>
      <c r="B111" s="304"/>
      <c r="C111" s="326"/>
      <c r="D111" s="327"/>
      <c r="E111" s="304"/>
      <c r="F111" s="328"/>
      <c r="G111" s="329"/>
      <c r="H111" s="308"/>
      <c r="I111" s="308"/>
    </row>
    <row r="112" spans="1:9" collapsed="1" x14ac:dyDescent="0.3">
      <c r="A112" s="282" t="s">
        <v>237</v>
      </c>
      <c r="B112" s="309"/>
      <c r="C112" s="309" t="s">
        <v>238</v>
      </c>
      <c r="D112" s="309" t="s">
        <v>239</v>
      </c>
      <c r="E112" s="282" t="s">
        <v>240</v>
      </c>
      <c r="F112" s="282" t="s">
        <v>241</v>
      </c>
      <c r="G112" s="309" t="s">
        <v>242</v>
      </c>
      <c r="H112" s="311"/>
      <c r="I112" s="287">
        <f>SUBTOTAL(9,I113:I125)</f>
        <v>168592.68888888886</v>
      </c>
    </row>
    <row r="113" spans="1:12" x14ac:dyDescent="0.3">
      <c r="A113" s="312" t="str">
        <f>_xlfn.IFNA(INDEX( tenkinh,MATCH(B113,makinh,0),0),"")</f>
        <v>Kính trắng cường lực dày 8mm</v>
      </c>
      <c r="B113" s="313" t="str">
        <f>C2</f>
        <v>k8cl</v>
      </c>
      <c r="C113" s="315">
        <f>(C6-J113)/F113</f>
        <v>0.5</v>
      </c>
      <c r="D113" s="315">
        <f>C7-K113</f>
        <v>0.43799999999999994</v>
      </c>
      <c r="E113" s="330">
        <f>D113*C113</f>
        <v>0.21899999999999997</v>
      </c>
      <c r="F113" s="289">
        <v>2</v>
      </c>
      <c r="G113" s="331">
        <f>E113*F113*(1+hp_kinh)</f>
        <v>0.45113999999999993</v>
      </c>
      <c r="H113" s="318">
        <f>_xlfn.IFNA(INDEX(dongiakinh,MATCH(B113,makinh,0),0),0)</f>
        <v>353703.70370370371</v>
      </c>
      <c r="I113" s="318">
        <f>G113*H113</f>
        <v>159569.88888888888</v>
      </c>
      <c r="J113" s="243">
        <f>0.081*2+0.038</f>
        <v>0.2</v>
      </c>
      <c r="K113" s="243">
        <f>0.081*2</f>
        <v>0.16200000000000001</v>
      </c>
      <c r="L113" s="319"/>
    </row>
    <row r="114" spans="1:12" x14ac:dyDescent="0.3">
      <c r="A114" s="332"/>
      <c r="B114" s="333"/>
      <c r="C114" s="325"/>
      <c r="D114" s="325"/>
      <c r="E114" s="334"/>
      <c r="F114" s="297"/>
      <c r="G114" s="335"/>
      <c r="H114" s="336"/>
      <c r="I114" s="336"/>
      <c r="L114" s="319"/>
    </row>
    <row r="115" spans="1:12" x14ac:dyDescent="0.3">
      <c r="A115" s="332"/>
      <c r="B115" s="333"/>
      <c r="C115" s="325"/>
      <c r="D115" s="325"/>
      <c r="E115" s="334"/>
      <c r="F115" s="297"/>
      <c r="G115" s="335"/>
      <c r="H115" s="336"/>
      <c r="I115" s="336"/>
      <c r="L115" s="319"/>
    </row>
    <row r="116" spans="1:12" collapsed="1" x14ac:dyDescent="0.3">
      <c r="A116" s="332"/>
      <c r="B116" s="333"/>
      <c r="C116" s="325"/>
      <c r="D116" s="325"/>
      <c r="E116" s="334"/>
      <c r="F116" s="297"/>
      <c r="G116" s="335"/>
      <c r="H116" s="336"/>
      <c r="I116" s="336"/>
      <c r="L116" s="319"/>
    </row>
    <row r="117" spans="1:12" hidden="1" outlineLevel="1" x14ac:dyDescent="0.3">
      <c r="A117" s="332">
        <f t="shared" ref="A117:A125" si="0">_xlfn.IFNA(INDEX(tenkinh,MATCH(B117,makinh,0),0),0)</f>
        <v>0</v>
      </c>
      <c r="B117" s="333"/>
      <c r="C117" s="325"/>
      <c r="D117" s="325"/>
      <c r="E117" s="334"/>
      <c r="F117" s="297"/>
      <c r="G117" s="335"/>
      <c r="H117" s="336"/>
      <c r="I117" s="336"/>
      <c r="L117" s="319"/>
    </row>
    <row r="118" spans="1:12" hidden="1" outlineLevel="1" x14ac:dyDescent="0.3">
      <c r="A118" s="332">
        <f t="shared" si="0"/>
        <v>0</v>
      </c>
      <c r="B118" s="333"/>
      <c r="C118" s="325"/>
      <c r="D118" s="325"/>
      <c r="E118" s="334"/>
      <c r="F118" s="297"/>
      <c r="G118" s="335"/>
      <c r="H118" s="336"/>
      <c r="I118" s="336"/>
      <c r="L118" s="319"/>
    </row>
    <row r="119" spans="1:12" hidden="1" outlineLevel="1" x14ac:dyDescent="0.3">
      <c r="A119" s="332">
        <f t="shared" si="0"/>
        <v>0</v>
      </c>
      <c r="B119" s="333"/>
      <c r="C119" s="325"/>
      <c r="D119" s="325"/>
      <c r="E119" s="334"/>
      <c r="F119" s="297"/>
      <c r="G119" s="335"/>
      <c r="H119" s="336"/>
      <c r="I119" s="336"/>
      <c r="L119" s="319"/>
    </row>
    <row r="120" spans="1:12" hidden="1" outlineLevel="1" x14ac:dyDescent="0.3">
      <c r="A120" s="332">
        <f t="shared" si="0"/>
        <v>0</v>
      </c>
      <c r="B120" s="333"/>
      <c r="C120" s="325"/>
      <c r="D120" s="325"/>
      <c r="E120" s="334"/>
      <c r="F120" s="297"/>
      <c r="G120" s="335"/>
      <c r="H120" s="336"/>
      <c r="I120" s="336"/>
      <c r="L120" s="319"/>
    </row>
    <row r="121" spans="1:12" collapsed="1" x14ac:dyDescent="0.3">
      <c r="A121" s="332" t="str">
        <f t="shared" si="0"/>
        <v>Băng keo bảo vệ kính</v>
      </c>
      <c r="B121" s="333" t="s">
        <v>69</v>
      </c>
      <c r="C121" s="299"/>
      <c r="D121" s="299"/>
      <c r="E121" s="334"/>
      <c r="F121" s="323"/>
      <c r="G121" s="335">
        <f>SUM(G113:G120)*2</f>
        <v>0.90227999999999986</v>
      </c>
      <c r="H121" s="336">
        <f>_xlfn.IFNA(INDEX(dongiakinh,MATCH(B121,makinh,0),0),0)</f>
        <v>10000</v>
      </c>
      <c r="I121" s="336">
        <f>G121*H121</f>
        <v>9022.7999999999993</v>
      </c>
      <c r="L121" s="319"/>
    </row>
    <row r="122" spans="1:12" x14ac:dyDescent="0.3">
      <c r="A122" s="302" t="str">
        <f t="shared" si="0"/>
        <v>Mài thô</v>
      </c>
      <c r="B122" s="333" t="s">
        <v>243</v>
      </c>
      <c r="C122" s="299"/>
      <c r="D122" s="299"/>
      <c r="E122" s="334"/>
      <c r="F122" s="297"/>
      <c r="G122" s="335">
        <f>G121/2</f>
        <v>0.45113999999999993</v>
      </c>
      <c r="H122" s="336">
        <f>_xlfn.IFNA(INDEX(dongiakinh,MATCH(B122,makinh,0),0),0)</f>
        <v>0</v>
      </c>
      <c r="I122" s="336">
        <f>G122*H122</f>
        <v>0</v>
      </c>
      <c r="L122" s="319"/>
    </row>
    <row r="123" spans="1:12" x14ac:dyDescent="0.3">
      <c r="A123" s="302" t="str">
        <f t="shared" si="0"/>
        <v>Mài bóng</v>
      </c>
      <c r="B123" s="333" t="s">
        <v>74</v>
      </c>
      <c r="C123" s="299"/>
      <c r="D123" s="299"/>
      <c r="E123" s="334"/>
      <c r="F123" s="297"/>
      <c r="G123" s="335">
        <f>F123*(1+hp_kinh)</f>
        <v>0</v>
      </c>
      <c r="H123" s="336">
        <f>_xlfn.IFNA(INDEX(dongiakinh,MATCH(B123,makinh,0),0),0)</f>
        <v>8000</v>
      </c>
      <c r="I123" s="336">
        <f>G123*H123</f>
        <v>0</v>
      </c>
      <c r="L123" s="319"/>
    </row>
    <row r="124" spans="1:12" x14ac:dyDescent="0.3">
      <c r="A124" s="302" t="str">
        <f t="shared" si="0"/>
        <v>Khoét lỗ</v>
      </c>
      <c r="B124" s="333" t="s">
        <v>73</v>
      </c>
      <c r="C124" s="299"/>
      <c r="D124" s="299"/>
      <c r="E124" s="334"/>
      <c r="F124" s="297"/>
      <c r="G124" s="335">
        <f>F124*(1+hp_kinh)</f>
        <v>0</v>
      </c>
      <c r="H124" s="336">
        <f>_xlfn.IFNA(INDEX(dongiakinh,MATCH(B124,makinh,0),0),0)</f>
        <v>20000</v>
      </c>
      <c r="I124" s="336">
        <f>G124*H124</f>
        <v>0</v>
      </c>
      <c r="L124" s="319"/>
    </row>
    <row r="125" spans="1:12" x14ac:dyDescent="0.3">
      <c r="A125" s="303" t="str">
        <f t="shared" si="0"/>
        <v>Khoan lỗ</v>
      </c>
      <c r="B125" s="337" t="s">
        <v>72</v>
      </c>
      <c r="C125" s="306"/>
      <c r="D125" s="306"/>
      <c r="E125" s="338"/>
      <c r="F125" s="304"/>
      <c r="G125" s="339">
        <f>F125*(1+hp_kinh)</f>
        <v>0</v>
      </c>
      <c r="H125" s="340">
        <f>_xlfn.IFNA(INDEX(dongiakinh,MATCH(B125,makinh,0),0),0)</f>
        <v>5000</v>
      </c>
      <c r="I125" s="340">
        <f>G125*H125</f>
        <v>0</v>
      </c>
      <c r="L125" s="319"/>
    </row>
    <row r="126" spans="1:12" x14ac:dyDescent="0.3">
      <c r="A126" s="341" t="s">
        <v>244</v>
      </c>
      <c r="B126" s="342"/>
      <c r="C126" s="341"/>
      <c r="D126" s="341"/>
      <c r="E126" s="342"/>
      <c r="F126" s="341"/>
      <c r="G126" s="342"/>
      <c r="H126" s="343"/>
      <c r="I126" s="344">
        <f>SUBTOTAL(9,I127:I135)</f>
        <v>363600</v>
      </c>
    </row>
    <row r="127" spans="1:12" x14ac:dyDescent="0.3">
      <c r="A127" s="345" t="str">
        <f>"D.1 NHÂN CÔNG GIA CÔNG ("&amp;B2&amp;")"</f>
        <v>D.1 NHÂN CÔNG GIA CÔNG (CỬA SỔ LÙA)</v>
      </c>
      <c r="B127" s="346"/>
      <c r="C127" s="347"/>
      <c r="D127" s="347"/>
      <c r="E127" s="348"/>
      <c r="F127" s="349"/>
      <c r="G127" s="331">
        <f>$F$5</f>
        <v>0.72</v>
      </c>
      <c r="H127" s="318">
        <f>ncsx_csl</f>
        <v>175000</v>
      </c>
      <c r="I127" s="318">
        <f>G127*H127</f>
        <v>126000</v>
      </c>
      <c r="L127" s="319"/>
    </row>
    <row r="128" spans="1:12" x14ac:dyDescent="0.3">
      <c r="A128" s="350" t="s">
        <v>104</v>
      </c>
      <c r="B128" s="351"/>
      <c r="C128" s="352"/>
      <c r="D128" s="352"/>
      <c r="E128" s="352"/>
      <c r="F128" s="352"/>
      <c r="G128" s="353">
        <f>$F$5</f>
        <v>0.72</v>
      </c>
      <c r="H128" s="336">
        <f>vc</f>
        <v>30000</v>
      </c>
      <c r="I128" s="336">
        <f>G128*H128</f>
        <v>21600</v>
      </c>
    </row>
    <row r="129" spans="1:9" x14ac:dyDescent="0.3">
      <c r="A129" s="350" t="str">
        <f>"D.3 NHÂN CÔNG LẮP ĐẶT ("&amp;B2&amp;")"</f>
        <v>D.3 NHÂN CÔNG LẮP ĐẶT (CỬA SỔ LÙA)</v>
      </c>
      <c r="B129" s="351"/>
      <c r="C129" s="352"/>
      <c r="D129" s="352"/>
      <c r="E129" s="352"/>
      <c r="F129" s="352"/>
      <c r="G129" s="353">
        <f>$F$5</f>
        <v>0.72</v>
      </c>
      <c r="H129" s="336">
        <f>ncld</f>
        <v>270000</v>
      </c>
      <c r="I129" s="336">
        <f>G129*H129</f>
        <v>194400</v>
      </c>
    </row>
    <row r="130" spans="1:9" x14ac:dyDescent="0.3">
      <c r="A130" s="350" t="str">
        <f>"D.4 CHI PHÍ VỆ SINH ("&amp;B2&amp;")"</f>
        <v>D.4 CHI PHÍ VỆ SINH (CỬA SỔ LÙA)</v>
      </c>
      <c r="B130" s="351"/>
      <c r="C130" s="352"/>
      <c r="D130" s="352"/>
      <c r="E130" s="352"/>
      <c r="F130" s="352"/>
      <c r="G130" s="353">
        <f>$F$5</f>
        <v>0.72</v>
      </c>
      <c r="H130" s="336">
        <f>vs</f>
        <v>30000</v>
      </c>
      <c r="I130" s="336">
        <f>G130*H130</f>
        <v>21600</v>
      </c>
    </row>
    <row r="131" spans="1:9" x14ac:dyDescent="0.3">
      <c r="A131" s="354"/>
      <c r="B131" s="351"/>
      <c r="C131" s="352"/>
      <c r="D131" s="352"/>
      <c r="E131" s="352"/>
      <c r="F131" s="352"/>
      <c r="G131" s="353"/>
      <c r="H131" s="336"/>
      <c r="I131" s="336"/>
    </row>
    <row r="132" spans="1:9" collapsed="1" x14ac:dyDescent="0.3">
      <c r="A132" s="354"/>
      <c r="B132" s="351"/>
      <c r="C132" s="352"/>
      <c r="D132" s="352"/>
      <c r="E132" s="352"/>
      <c r="F132" s="352"/>
      <c r="G132" s="353"/>
      <c r="H132" s="336"/>
      <c r="I132" s="336"/>
    </row>
    <row r="133" spans="1:9" hidden="1" outlineLevel="1" x14ac:dyDescent="0.3">
      <c r="A133" s="354"/>
      <c r="B133" s="351"/>
      <c r="C133" s="352"/>
      <c r="D133" s="352"/>
      <c r="E133" s="352"/>
      <c r="F133" s="352"/>
      <c r="G133" s="353"/>
      <c r="H133" s="336"/>
      <c r="I133" s="336"/>
    </row>
    <row r="134" spans="1:9" hidden="1" outlineLevel="1" x14ac:dyDescent="0.3">
      <c r="A134" s="354"/>
      <c r="B134" s="351"/>
      <c r="C134" s="352"/>
      <c r="D134" s="352"/>
      <c r="E134" s="352"/>
      <c r="F134" s="352"/>
      <c r="G134" s="353"/>
      <c r="H134" s="336"/>
      <c r="I134" s="336"/>
    </row>
    <row r="135" spans="1:9" hidden="1" outlineLevel="1" x14ac:dyDescent="0.3">
      <c r="A135" s="355"/>
      <c r="B135" s="356"/>
      <c r="C135" s="357"/>
      <c r="D135" s="357"/>
      <c r="E135" s="357"/>
      <c r="F135" s="357"/>
      <c r="G135" s="358"/>
      <c r="H135" s="340"/>
      <c r="I135" s="340"/>
    </row>
    <row r="136" spans="1:9" x14ac:dyDescent="0.3">
      <c r="A136" s="282" t="s">
        <v>245</v>
      </c>
      <c r="B136" s="309"/>
      <c r="C136" s="309"/>
      <c r="D136" s="282"/>
      <c r="E136" s="282"/>
      <c r="F136" s="282"/>
      <c r="G136" s="309"/>
      <c r="H136" s="311"/>
      <c r="I136" s="287">
        <f>SUBTOTAL(9,I137:I164)</f>
        <v>256676.2</v>
      </c>
    </row>
    <row r="137" spans="1:9" x14ac:dyDescent="0.3">
      <c r="A137" s="359" t="str">
        <f t="shared" ref="A137:A147" si="1">_xlfn.IFNA("PKVKT: "&amp;INDEX(diengiaivattu,MATCH(B137,mavattu,0),0),0)</f>
        <v>PKVKT: Cửa sổ lùa 2 cánh hệ Nova 50 - Draho</v>
      </c>
      <c r="B137" s="289" t="str">
        <f>A3</f>
        <v>CSL50-2C</v>
      </c>
      <c r="C137" s="360" t="str">
        <f>_xlfn.IFNA(INDEX(donvivattu,MATCH(B137,mavattu,0),0),0)</f>
        <v>Bộ</v>
      </c>
      <c r="D137" s="361"/>
      <c r="E137" s="289">
        <v>1</v>
      </c>
      <c r="F137" s="362"/>
      <c r="G137" s="363">
        <f>E137</f>
        <v>1</v>
      </c>
      <c r="H137" s="293">
        <f>_xlfn.IFNA(INDEX(dongiavattu,MATCH(B137,mavattu,0),0),0)</f>
        <v>256676.2</v>
      </c>
      <c r="I137" s="293">
        <f>G137*H137</f>
        <v>256676.2</v>
      </c>
    </row>
    <row r="138" spans="1:9" collapsed="1" x14ac:dyDescent="0.3">
      <c r="A138" s="302">
        <f t="shared" si="1"/>
        <v>0</v>
      </c>
      <c r="B138" s="297"/>
      <c r="C138" s="320"/>
      <c r="D138" s="353"/>
      <c r="E138" s="297"/>
      <c r="F138" s="351"/>
      <c r="G138" s="364"/>
      <c r="H138" s="301"/>
      <c r="I138" s="301"/>
    </row>
    <row r="139" spans="1:9" hidden="1" outlineLevel="1" x14ac:dyDescent="0.3">
      <c r="A139" s="302">
        <f t="shared" si="1"/>
        <v>0</v>
      </c>
      <c r="B139" s="297"/>
      <c r="C139" s="320"/>
      <c r="D139" s="353"/>
      <c r="E139" s="297"/>
      <c r="F139" s="351"/>
      <c r="G139" s="364"/>
      <c r="H139" s="301"/>
      <c r="I139" s="301"/>
    </row>
    <row r="140" spans="1:9" hidden="1" outlineLevel="1" collapsed="1" x14ac:dyDescent="0.3">
      <c r="A140" s="302">
        <f t="shared" si="1"/>
        <v>0</v>
      </c>
      <c r="B140" s="297"/>
      <c r="C140" s="320"/>
      <c r="D140" s="353"/>
      <c r="E140" s="297"/>
      <c r="F140" s="351"/>
      <c r="G140" s="364"/>
      <c r="H140" s="301"/>
      <c r="I140" s="301"/>
    </row>
    <row r="141" spans="1:9" hidden="1" outlineLevel="1" x14ac:dyDescent="0.3">
      <c r="A141" s="302">
        <f t="shared" si="1"/>
        <v>0</v>
      </c>
      <c r="B141" s="297"/>
      <c r="C141" s="320"/>
      <c r="D141" s="353"/>
      <c r="E141" s="297"/>
      <c r="F141" s="351"/>
      <c r="G141" s="364"/>
      <c r="H141" s="301"/>
      <c r="I141" s="301"/>
    </row>
    <row r="142" spans="1:9" hidden="1" outlineLevel="1" x14ac:dyDescent="0.3">
      <c r="A142" s="302">
        <f t="shared" si="1"/>
        <v>0</v>
      </c>
      <c r="B142" s="297"/>
      <c r="C142" s="320"/>
      <c r="D142" s="353"/>
      <c r="E142" s="297"/>
      <c r="F142" s="351"/>
      <c r="G142" s="364"/>
      <c r="H142" s="301"/>
      <c r="I142" s="301"/>
    </row>
    <row r="143" spans="1:9" hidden="1" outlineLevel="1" x14ac:dyDescent="0.3">
      <c r="A143" s="302">
        <f t="shared" si="1"/>
        <v>0</v>
      </c>
      <c r="B143" s="297"/>
      <c r="C143" s="320"/>
      <c r="D143" s="353"/>
      <c r="E143" s="297"/>
      <c r="F143" s="351"/>
      <c r="G143" s="364"/>
      <c r="H143" s="301"/>
      <c r="I143" s="301"/>
    </row>
    <row r="144" spans="1:9" hidden="1" outlineLevel="1" x14ac:dyDescent="0.3">
      <c r="A144" s="302">
        <f t="shared" si="1"/>
        <v>0</v>
      </c>
      <c r="B144" s="297"/>
      <c r="C144" s="320"/>
      <c r="D144" s="353"/>
      <c r="E144" s="297"/>
      <c r="F144" s="351"/>
      <c r="G144" s="364"/>
      <c r="H144" s="301"/>
      <c r="I144" s="301"/>
    </row>
    <row r="145" spans="1:9" hidden="1" outlineLevel="1" x14ac:dyDescent="0.3">
      <c r="A145" s="302">
        <f t="shared" si="1"/>
        <v>0</v>
      </c>
      <c r="B145" s="297"/>
      <c r="C145" s="320"/>
      <c r="D145" s="353"/>
      <c r="E145" s="297"/>
      <c r="F145" s="351"/>
      <c r="G145" s="364"/>
      <c r="H145" s="301"/>
      <c r="I145" s="301"/>
    </row>
    <row r="146" spans="1:9" hidden="1" outlineLevel="1" x14ac:dyDescent="0.3">
      <c r="A146" s="302">
        <f t="shared" si="1"/>
        <v>0</v>
      </c>
      <c r="B146" s="297"/>
      <c r="C146" s="320"/>
      <c r="D146" s="353"/>
      <c r="E146" s="297"/>
      <c r="F146" s="351"/>
      <c r="G146" s="364"/>
      <c r="H146" s="301"/>
      <c r="I146" s="301"/>
    </row>
    <row r="147" spans="1:9" hidden="1" outlineLevel="1" x14ac:dyDescent="0.3">
      <c r="A147" s="302">
        <f t="shared" si="1"/>
        <v>0</v>
      </c>
      <c r="B147" s="297"/>
      <c r="C147" s="320"/>
      <c r="D147" s="353"/>
      <c r="E147" s="297"/>
      <c r="F147" s="351"/>
      <c r="G147" s="364"/>
      <c r="H147" s="301"/>
      <c r="I147" s="301"/>
    </row>
    <row r="148" spans="1:9" hidden="1" outlineLevel="1" x14ac:dyDescent="0.3">
      <c r="A148" s="302"/>
      <c r="B148" s="297"/>
      <c r="C148" s="320"/>
      <c r="D148" s="353"/>
      <c r="E148" s="297"/>
      <c r="F148" s="351"/>
      <c r="G148" s="364"/>
      <c r="H148" s="301"/>
      <c r="I148" s="301"/>
    </row>
    <row r="149" spans="1:9" hidden="1" outlineLevel="1" x14ac:dyDescent="0.3">
      <c r="A149" s="302"/>
      <c r="B149" s="297"/>
      <c r="C149" s="320"/>
      <c r="D149" s="353"/>
      <c r="E149" s="297"/>
      <c r="F149" s="351"/>
      <c r="G149" s="364"/>
      <c r="H149" s="301"/>
      <c r="I149" s="301"/>
    </row>
    <row r="150" spans="1:9" hidden="1" outlineLevel="1" x14ac:dyDescent="0.3">
      <c r="A150" s="302"/>
      <c r="B150" s="297"/>
      <c r="C150" s="320"/>
      <c r="D150" s="353"/>
      <c r="E150" s="297"/>
      <c r="F150" s="351"/>
      <c r="G150" s="364"/>
      <c r="H150" s="301"/>
      <c r="I150" s="301"/>
    </row>
    <row r="151" spans="1:9" hidden="1" outlineLevel="1" x14ac:dyDescent="0.3">
      <c r="A151" s="302"/>
      <c r="B151" s="297"/>
      <c r="C151" s="320"/>
      <c r="D151" s="353"/>
      <c r="E151" s="297"/>
      <c r="F151" s="351"/>
      <c r="G151" s="364"/>
      <c r="H151" s="301"/>
      <c r="I151" s="301"/>
    </row>
    <row r="152" spans="1:9" hidden="1" outlineLevel="1" x14ac:dyDescent="0.3">
      <c r="A152" s="302"/>
      <c r="B152" s="297"/>
      <c r="C152" s="320"/>
      <c r="D152" s="353"/>
      <c r="E152" s="297"/>
      <c r="F152" s="351"/>
      <c r="G152" s="364"/>
      <c r="H152" s="301"/>
      <c r="I152" s="301"/>
    </row>
    <row r="153" spans="1:9" hidden="1" outlineLevel="1" x14ac:dyDescent="0.3">
      <c r="A153" s="302"/>
      <c r="B153" s="297"/>
      <c r="C153" s="320"/>
      <c r="D153" s="353"/>
      <c r="E153" s="297"/>
      <c r="F153" s="351"/>
      <c r="G153" s="364"/>
      <c r="H153" s="301"/>
      <c r="I153" s="301"/>
    </row>
    <row r="154" spans="1:9" hidden="1" outlineLevel="1" x14ac:dyDescent="0.3">
      <c r="A154" s="302"/>
      <c r="B154" s="297"/>
      <c r="C154" s="320"/>
      <c r="D154" s="353"/>
      <c r="E154" s="297"/>
      <c r="F154" s="351"/>
      <c r="G154" s="364"/>
      <c r="H154" s="301"/>
      <c r="I154" s="301"/>
    </row>
    <row r="155" spans="1:9" hidden="1" outlineLevel="1" x14ac:dyDescent="0.3">
      <c r="A155" s="302"/>
      <c r="B155" s="297"/>
      <c r="C155" s="320"/>
      <c r="D155" s="353"/>
      <c r="E155" s="297"/>
      <c r="F155" s="351"/>
      <c r="G155" s="364"/>
      <c r="H155" s="301"/>
      <c r="I155" s="301"/>
    </row>
    <row r="156" spans="1:9" hidden="1" outlineLevel="1" x14ac:dyDescent="0.3">
      <c r="A156" s="302"/>
      <c r="B156" s="297"/>
      <c r="C156" s="320"/>
      <c r="D156" s="353"/>
      <c r="E156" s="297"/>
      <c r="F156" s="351"/>
      <c r="G156" s="364"/>
      <c r="H156" s="301"/>
      <c r="I156" s="301"/>
    </row>
    <row r="157" spans="1:9" hidden="1" outlineLevel="1" x14ac:dyDescent="0.3">
      <c r="A157" s="302"/>
      <c r="B157" s="297"/>
      <c r="C157" s="320"/>
      <c r="D157" s="353"/>
      <c r="E157" s="297"/>
      <c r="F157" s="351"/>
      <c r="G157" s="364"/>
      <c r="H157" s="301"/>
      <c r="I157" s="301"/>
    </row>
    <row r="158" spans="1:9" hidden="1" outlineLevel="1" x14ac:dyDescent="0.3">
      <c r="A158" s="302"/>
      <c r="B158" s="297"/>
      <c r="C158" s="320"/>
      <c r="D158" s="353"/>
      <c r="E158" s="297"/>
      <c r="F158" s="351"/>
      <c r="G158" s="364"/>
      <c r="H158" s="301"/>
      <c r="I158" s="301"/>
    </row>
    <row r="159" spans="1:9" hidden="1" outlineLevel="1" x14ac:dyDescent="0.3">
      <c r="A159" s="302"/>
      <c r="B159" s="297"/>
      <c r="C159" s="320"/>
      <c r="D159" s="353"/>
      <c r="E159" s="297"/>
      <c r="F159" s="351"/>
      <c r="G159" s="364"/>
      <c r="H159" s="301"/>
      <c r="I159" s="301"/>
    </row>
    <row r="160" spans="1:9" hidden="1" outlineLevel="1" x14ac:dyDescent="0.3">
      <c r="A160" s="302"/>
      <c r="B160" s="297"/>
      <c r="C160" s="320"/>
      <c r="D160" s="353"/>
      <c r="E160" s="297"/>
      <c r="F160" s="351"/>
      <c r="G160" s="364"/>
      <c r="H160" s="301"/>
      <c r="I160" s="301"/>
    </row>
    <row r="161" spans="1:9" hidden="1" outlineLevel="1" x14ac:dyDescent="0.3">
      <c r="A161" s="302"/>
      <c r="B161" s="297"/>
      <c r="C161" s="320"/>
      <c r="D161" s="353"/>
      <c r="E161" s="297"/>
      <c r="F161" s="351"/>
      <c r="G161" s="364"/>
      <c r="H161" s="301"/>
      <c r="I161" s="301"/>
    </row>
    <row r="162" spans="1:9" hidden="1" outlineLevel="1" x14ac:dyDescent="0.3">
      <c r="A162" s="302"/>
      <c r="B162" s="297"/>
      <c r="C162" s="320"/>
      <c r="D162" s="353"/>
      <c r="E162" s="297"/>
      <c r="F162" s="351"/>
      <c r="G162" s="364"/>
      <c r="H162" s="301"/>
      <c r="I162" s="301"/>
    </row>
    <row r="163" spans="1:9" hidden="1" outlineLevel="1" x14ac:dyDescent="0.3">
      <c r="A163" s="302"/>
      <c r="B163" s="297"/>
      <c r="C163" s="320"/>
      <c r="D163" s="353"/>
      <c r="E163" s="297"/>
      <c r="F163" s="351"/>
      <c r="G163" s="364"/>
      <c r="H163" s="301"/>
      <c r="I163" s="301"/>
    </row>
    <row r="164" spans="1:9" hidden="1" outlineLevel="1" x14ac:dyDescent="0.3">
      <c r="A164" s="303"/>
      <c r="B164" s="304"/>
      <c r="C164" s="326"/>
      <c r="D164" s="358"/>
      <c r="E164" s="304"/>
      <c r="F164" s="356"/>
      <c r="G164" s="365"/>
      <c r="H164" s="308"/>
      <c r="I164" s="308"/>
    </row>
    <row r="165" spans="1:9" collapsed="1" x14ac:dyDescent="0.3">
      <c r="A165" s="282" t="s">
        <v>246</v>
      </c>
      <c r="B165" s="309"/>
      <c r="C165" s="309"/>
      <c r="D165" s="282"/>
      <c r="E165" s="282"/>
      <c r="F165" s="282"/>
      <c r="G165" s="366"/>
      <c r="H165" s="311"/>
      <c r="I165" s="287">
        <f>SUBTOTAL(9,I166:I185)</f>
        <v>35279.999999999993</v>
      </c>
    </row>
    <row r="166" spans="1:9" x14ac:dyDescent="0.3">
      <c r="A166" s="359" t="str">
        <f>_xlfn.IFNA(INDEX(diengiaivattu,MATCH(B166,mavattu,0),0),0)</f>
        <v>Gioăng lông</v>
      </c>
      <c r="B166" s="289" t="s">
        <v>95</v>
      </c>
      <c r="C166" s="360" t="str">
        <f>_xlfn.IFNA(INDEX(donvivattu,MATCH(B166,mavattu,0),0),0)</f>
        <v>md</v>
      </c>
      <c r="D166" s="367"/>
      <c r="E166" s="315">
        <f>C6*4+C7*(E15+E18)</f>
        <v>8.3999999999999986</v>
      </c>
      <c r="F166" s="368"/>
      <c r="G166" s="317">
        <f>E166*(1+hp_vtk)</f>
        <v>8.8199999999999985</v>
      </c>
      <c r="H166" s="293">
        <f>_xlfn.IFNA(INDEX(dongiavattu,MATCH(B166,mavattu,0),0),0)</f>
        <v>4000</v>
      </c>
      <c r="I166" s="293">
        <f>G166*H166</f>
        <v>35279.999999999993</v>
      </c>
    </row>
    <row r="167" spans="1:9" x14ac:dyDescent="0.3">
      <c r="A167" s="302">
        <f>_xlfn.IFNA(INDEX(diengiaivattu,MATCH(B167,mavattu,0),0),0)</f>
        <v>0</v>
      </c>
      <c r="B167" s="297"/>
      <c r="C167" s="320"/>
      <c r="D167" s="321"/>
      <c r="E167" s="297"/>
      <c r="F167" s="323"/>
      <c r="G167" s="324"/>
      <c r="H167" s="301"/>
      <c r="I167" s="301"/>
    </row>
    <row r="168" spans="1:9" collapsed="1" x14ac:dyDescent="0.3">
      <c r="A168" s="302"/>
      <c r="B168" s="297"/>
      <c r="C168" s="320"/>
      <c r="D168" s="321"/>
      <c r="E168" s="297"/>
      <c r="F168" s="323"/>
      <c r="G168" s="324"/>
      <c r="H168" s="301"/>
      <c r="I168" s="301"/>
    </row>
    <row r="169" spans="1:9" hidden="1" outlineLevel="1" x14ac:dyDescent="0.3">
      <c r="A169" s="302"/>
      <c r="B169" s="297"/>
      <c r="C169" s="320"/>
      <c r="D169" s="321"/>
      <c r="E169" s="297"/>
      <c r="F169" s="323"/>
      <c r="G169" s="324"/>
      <c r="H169" s="301"/>
      <c r="I169" s="301"/>
    </row>
    <row r="170" spans="1:9" hidden="1" outlineLevel="1" collapsed="1" x14ac:dyDescent="0.3">
      <c r="A170" s="302"/>
      <c r="B170" s="297"/>
      <c r="C170" s="320"/>
      <c r="D170" s="321"/>
      <c r="E170" s="297"/>
      <c r="F170" s="323"/>
      <c r="G170" s="324"/>
      <c r="H170" s="301"/>
      <c r="I170" s="301"/>
    </row>
    <row r="171" spans="1:9" hidden="1" outlineLevel="1" x14ac:dyDescent="0.3">
      <c r="A171" s="302"/>
      <c r="B171" s="297"/>
      <c r="C171" s="320"/>
      <c r="D171" s="321"/>
      <c r="E171" s="297"/>
      <c r="F171" s="323"/>
      <c r="G171" s="324"/>
      <c r="H171" s="301"/>
      <c r="I171" s="301"/>
    </row>
    <row r="172" spans="1:9" hidden="1" outlineLevel="1" x14ac:dyDescent="0.3">
      <c r="A172" s="302"/>
      <c r="B172" s="297"/>
      <c r="C172" s="320"/>
      <c r="D172" s="321"/>
      <c r="E172" s="297"/>
      <c r="F172" s="323"/>
      <c r="G172" s="324"/>
      <c r="H172" s="301"/>
      <c r="I172" s="301"/>
    </row>
    <row r="173" spans="1:9" hidden="1" outlineLevel="1" x14ac:dyDescent="0.3">
      <c r="A173" s="302"/>
      <c r="B173" s="297"/>
      <c r="C173" s="320"/>
      <c r="D173" s="321"/>
      <c r="E173" s="297"/>
      <c r="F173" s="323"/>
      <c r="G173" s="324"/>
      <c r="H173" s="301"/>
      <c r="I173" s="301"/>
    </row>
    <row r="174" spans="1:9" hidden="1" outlineLevel="1" x14ac:dyDescent="0.3">
      <c r="A174" s="302"/>
      <c r="B174" s="297"/>
      <c r="C174" s="320"/>
      <c r="D174" s="321"/>
      <c r="E174" s="297"/>
      <c r="F174" s="323"/>
      <c r="G174" s="324"/>
      <c r="H174" s="301"/>
      <c r="I174" s="301"/>
    </row>
    <row r="175" spans="1:9" hidden="1" outlineLevel="1" x14ac:dyDescent="0.3">
      <c r="A175" s="302"/>
      <c r="B175" s="297"/>
      <c r="C175" s="320"/>
      <c r="D175" s="321"/>
      <c r="E175" s="297"/>
      <c r="F175" s="323"/>
      <c r="G175" s="324"/>
      <c r="H175" s="301"/>
      <c r="I175" s="301"/>
    </row>
    <row r="176" spans="1:9" hidden="1" outlineLevel="1" x14ac:dyDescent="0.3">
      <c r="A176" s="302"/>
      <c r="B176" s="297"/>
      <c r="C176" s="320"/>
      <c r="D176" s="321"/>
      <c r="E176" s="297"/>
      <c r="F176" s="323"/>
      <c r="G176" s="324"/>
      <c r="H176" s="301"/>
      <c r="I176" s="301"/>
    </row>
    <row r="177" spans="1:10" hidden="1" outlineLevel="1" x14ac:dyDescent="0.3">
      <c r="A177" s="302"/>
      <c r="B177" s="297"/>
      <c r="C177" s="320"/>
      <c r="D177" s="321"/>
      <c r="E177" s="297"/>
      <c r="F177" s="323"/>
      <c r="G177" s="324"/>
      <c r="H177" s="301"/>
      <c r="I177" s="301"/>
    </row>
    <row r="178" spans="1:10" hidden="1" outlineLevel="1" x14ac:dyDescent="0.3">
      <c r="A178" s="302"/>
      <c r="B178" s="297"/>
      <c r="C178" s="320"/>
      <c r="D178" s="321"/>
      <c r="E178" s="297"/>
      <c r="F178" s="323"/>
      <c r="G178" s="324"/>
      <c r="H178" s="301"/>
      <c r="I178" s="301"/>
    </row>
    <row r="179" spans="1:10" hidden="1" outlineLevel="1" x14ac:dyDescent="0.3">
      <c r="A179" s="302"/>
      <c r="B179" s="297"/>
      <c r="C179" s="320"/>
      <c r="D179" s="321"/>
      <c r="E179" s="297"/>
      <c r="F179" s="323"/>
      <c r="G179" s="324"/>
      <c r="H179" s="301"/>
      <c r="I179" s="301"/>
    </row>
    <row r="180" spans="1:10" hidden="1" outlineLevel="1" x14ac:dyDescent="0.3">
      <c r="A180" s="302"/>
      <c r="B180" s="297"/>
      <c r="C180" s="320"/>
      <c r="D180" s="321"/>
      <c r="E180" s="297"/>
      <c r="F180" s="323"/>
      <c r="G180" s="324"/>
      <c r="H180" s="301"/>
      <c r="I180" s="301"/>
    </row>
    <row r="181" spans="1:10" hidden="1" outlineLevel="1" x14ac:dyDescent="0.3">
      <c r="A181" s="302"/>
      <c r="B181" s="297"/>
      <c r="C181" s="320"/>
      <c r="D181" s="321"/>
      <c r="E181" s="297"/>
      <c r="F181" s="323"/>
      <c r="G181" s="324"/>
      <c r="H181" s="301"/>
      <c r="I181" s="301"/>
    </row>
    <row r="182" spans="1:10" hidden="1" outlineLevel="1" x14ac:dyDescent="0.3">
      <c r="A182" s="302"/>
      <c r="B182" s="297"/>
      <c r="C182" s="320"/>
      <c r="D182" s="321"/>
      <c r="E182" s="297"/>
      <c r="F182" s="323"/>
      <c r="G182" s="324"/>
      <c r="H182" s="301"/>
      <c r="I182" s="301"/>
    </row>
    <row r="183" spans="1:10" hidden="1" outlineLevel="1" x14ac:dyDescent="0.3">
      <c r="A183" s="302"/>
      <c r="B183" s="297"/>
      <c r="C183" s="320"/>
      <c r="D183" s="321"/>
      <c r="E183" s="297"/>
      <c r="F183" s="323"/>
      <c r="G183" s="324"/>
      <c r="H183" s="301"/>
      <c r="I183" s="301"/>
    </row>
    <row r="184" spans="1:10" hidden="1" outlineLevel="1" x14ac:dyDescent="0.3">
      <c r="A184" s="369"/>
      <c r="B184" s="370"/>
      <c r="C184" s="369"/>
      <c r="D184" s="369"/>
      <c r="E184" s="371"/>
      <c r="F184" s="369"/>
      <c r="G184" s="321"/>
      <c r="H184" s="372"/>
      <c r="I184" s="373"/>
    </row>
    <row r="185" spans="1:10" hidden="1" outlineLevel="1" x14ac:dyDescent="0.3">
      <c r="A185" s="374"/>
      <c r="B185" s="375"/>
      <c r="C185" s="374"/>
      <c r="D185" s="374"/>
      <c r="E185" s="376"/>
      <c r="F185" s="374"/>
      <c r="G185" s="327"/>
      <c r="H185" s="377"/>
      <c r="I185" s="378"/>
    </row>
    <row r="186" spans="1:10" collapsed="1" x14ac:dyDescent="0.3">
      <c r="A186" s="379" t="s">
        <v>247</v>
      </c>
      <c r="B186" s="380"/>
      <c r="C186" s="380"/>
      <c r="D186" s="380"/>
      <c r="E186" s="380"/>
      <c r="F186" s="380"/>
      <c r="G186" s="381">
        <f>$F$5</f>
        <v>0.72</v>
      </c>
      <c r="H186" s="382">
        <f>cpct</f>
        <v>100000</v>
      </c>
      <c r="I186" s="382">
        <f>H186*G186</f>
        <v>72000</v>
      </c>
    </row>
    <row r="187" spans="1:10" x14ac:dyDescent="0.3">
      <c r="A187" s="379" t="s">
        <v>248</v>
      </c>
      <c r="B187" s="383"/>
      <c r="C187" s="380"/>
      <c r="D187" s="380"/>
      <c r="E187" s="380"/>
      <c r="F187" s="380"/>
      <c r="G187" s="381">
        <f>$F$5</f>
        <v>0.72</v>
      </c>
      <c r="H187" s="382">
        <f>tbtc</f>
        <v>50000</v>
      </c>
      <c r="I187" s="382">
        <f>H187*G187</f>
        <v>36000</v>
      </c>
      <c r="J187" s="384"/>
    </row>
    <row r="188" spans="1:10" x14ac:dyDescent="0.3">
      <c r="A188" s="385" t="s">
        <v>249</v>
      </c>
      <c r="B188" s="386"/>
      <c r="C188" s="386"/>
      <c r="D188" s="386"/>
      <c r="E188" s="386"/>
      <c r="F188" s="386"/>
      <c r="G188" s="387"/>
      <c r="H188" s="388"/>
      <c r="I188" s="388">
        <f>SUBTOTAL(9,I13:I187)</f>
        <v>1978889.145439689</v>
      </c>
    </row>
    <row r="449" spans="3:3" x14ac:dyDescent="0.3">
      <c r="C449" s="243" t="str">
        <f t="shared" ref="C449:C480" si="2">IF(B449="","",_xlfn.IFNA(INDEX(diengiaivattu,MATCH(B449,mavattu,0),0),0))</f>
        <v/>
      </c>
    </row>
    <row r="450" spans="3:3" x14ac:dyDescent="0.3">
      <c r="C450" s="243" t="str">
        <f t="shared" si="2"/>
        <v/>
      </c>
    </row>
    <row r="451" spans="3:3" x14ac:dyDescent="0.3">
      <c r="C451" s="243" t="str">
        <f t="shared" si="2"/>
        <v/>
      </c>
    </row>
    <row r="452" spans="3:3" x14ac:dyDescent="0.3">
      <c r="C452" s="243" t="str">
        <f t="shared" si="2"/>
        <v/>
      </c>
    </row>
    <row r="453" spans="3:3" x14ac:dyDescent="0.3">
      <c r="C453" s="243" t="str">
        <f t="shared" si="2"/>
        <v/>
      </c>
    </row>
    <row r="454" spans="3:3" x14ac:dyDescent="0.3">
      <c r="C454" s="243" t="str">
        <f t="shared" si="2"/>
        <v/>
      </c>
    </row>
    <row r="455" spans="3:3" x14ac:dyDescent="0.3">
      <c r="C455" s="243" t="str">
        <f t="shared" si="2"/>
        <v/>
      </c>
    </row>
    <row r="456" spans="3:3" x14ac:dyDescent="0.3">
      <c r="C456" s="243" t="str">
        <f t="shared" si="2"/>
        <v/>
      </c>
    </row>
    <row r="457" spans="3:3" x14ac:dyDescent="0.3">
      <c r="C457" s="243" t="str">
        <f t="shared" si="2"/>
        <v/>
      </c>
    </row>
    <row r="458" spans="3:3" x14ac:dyDescent="0.3">
      <c r="C458" s="243" t="str">
        <f t="shared" si="2"/>
        <v/>
      </c>
    </row>
    <row r="459" spans="3:3" x14ac:dyDescent="0.3">
      <c r="C459" s="243" t="str">
        <f t="shared" si="2"/>
        <v/>
      </c>
    </row>
    <row r="460" spans="3:3" x14ac:dyDescent="0.3">
      <c r="C460" s="243" t="str">
        <f t="shared" si="2"/>
        <v/>
      </c>
    </row>
    <row r="461" spans="3:3" x14ac:dyDescent="0.3">
      <c r="C461" s="243" t="str">
        <f t="shared" si="2"/>
        <v/>
      </c>
    </row>
    <row r="462" spans="3:3" x14ac:dyDescent="0.3">
      <c r="C462" s="243" t="str">
        <f t="shared" si="2"/>
        <v/>
      </c>
    </row>
    <row r="463" spans="3:3" x14ac:dyDescent="0.3">
      <c r="C463" s="243" t="str">
        <f t="shared" si="2"/>
        <v/>
      </c>
    </row>
    <row r="464" spans="3:3" x14ac:dyDescent="0.3">
      <c r="C464" s="243" t="str">
        <f t="shared" si="2"/>
        <v/>
      </c>
    </row>
    <row r="465" spans="3:3" x14ac:dyDescent="0.3">
      <c r="C465" s="243" t="str">
        <f t="shared" si="2"/>
        <v/>
      </c>
    </row>
    <row r="466" spans="3:3" x14ac:dyDescent="0.3">
      <c r="C466" s="243" t="str">
        <f t="shared" si="2"/>
        <v/>
      </c>
    </row>
    <row r="467" spans="3:3" x14ac:dyDescent="0.3">
      <c r="C467" s="243" t="str">
        <f t="shared" si="2"/>
        <v/>
      </c>
    </row>
    <row r="468" spans="3:3" x14ac:dyDescent="0.3">
      <c r="C468" s="243" t="str">
        <f t="shared" si="2"/>
        <v/>
      </c>
    </row>
    <row r="469" spans="3:3" x14ac:dyDescent="0.3">
      <c r="C469" s="243" t="str">
        <f t="shared" si="2"/>
        <v/>
      </c>
    </row>
    <row r="470" spans="3:3" x14ac:dyDescent="0.3">
      <c r="C470" s="243" t="str">
        <f t="shared" si="2"/>
        <v/>
      </c>
    </row>
    <row r="471" spans="3:3" x14ac:dyDescent="0.3">
      <c r="C471" s="243" t="str">
        <f t="shared" si="2"/>
        <v/>
      </c>
    </row>
    <row r="472" spans="3:3" x14ac:dyDescent="0.3">
      <c r="C472" s="243" t="str">
        <f t="shared" si="2"/>
        <v/>
      </c>
    </row>
    <row r="473" spans="3:3" x14ac:dyDescent="0.3">
      <c r="C473" s="243" t="str">
        <f t="shared" si="2"/>
        <v/>
      </c>
    </row>
    <row r="474" spans="3:3" x14ac:dyDescent="0.3">
      <c r="C474" s="243" t="str">
        <f t="shared" si="2"/>
        <v/>
      </c>
    </row>
    <row r="475" spans="3:3" x14ac:dyDescent="0.3">
      <c r="C475" s="243" t="str">
        <f t="shared" si="2"/>
        <v/>
      </c>
    </row>
    <row r="476" spans="3:3" x14ac:dyDescent="0.3">
      <c r="C476" s="243" t="str">
        <f t="shared" si="2"/>
        <v/>
      </c>
    </row>
    <row r="477" spans="3:3" x14ac:dyDescent="0.3">
      <c r="C477" s="243" t="str">
        <f t="shared" si="2"/>
        <v/>
      </c>
    </row>
    <row r="478" spans="3:3" x14ac:dyDescent="0.3">
      <c r="C478" s="243" t="str">
        <f t="shared" si="2"/>
        <v/>
      </c>
    </row>
    <row r="479" spans="3:3" x14ac:dyDescent="0.3">
      <c r="C479" s="243" t="str">
        <f t="shared" si="2"/>
        <v/>
      </c>
    </row>
    <row r="480" spans="3:3" x14ac:dyDescent="0.3">
      <c r="C480" s="243" t="str">
        <f t="shared" si="2"/>
        <v/>
      </c>
    </row>
    <row r="481" spans="3:3" x14ac:dyDescent="0.3">
      <c r="C481" s="243" t="str">
        <f t="shared" ref="C481:C506" si="3">IF(B481="","",_xlfn.IFNA(INDEX(diengiaivattu,MATCH(B481,mavattu,0),0),0))</f>
        <v/>
      </c>
    </row>
    <row r="482" spans="3:3" x14ac:dyDescent="0.3">
      <c r="C482" s="243" t="str">
        <f t="shared" si="3"/>
        <v/>
      </c>
    </row>
    <row r="483" spans="3:3" x14ac:dyDescent="0.3">
      <c r="C483" s="243" t="str">
        <f t="shared" si="3"/>
        <v/>
      </c>
    </row>
    <row r="484" spans="3:3" x14ac:dyDescent="0.3">
      <c r="C484" s="243" t="str">
        <f t="shared" si="3"/>
        <v/>
      </c>
    </row>
    <row r="485" spans="3:3" x14ac:dyDescent="0.3">
      <c r="C485" s="243" t="str">
        <f t="shared" si="3"/>
        <v/>
      </c>
    </row>
    <row r="486" spans="3:3" x14ac:dyDescent="0.3">
      <c r="C486" s="243" t="str">
        <f t="shared" si="3"/>
        <v/>
      </c>
    </row>
    <row r="487" spans="3:3" x14ac:dyDescent="0.3">
      <c r="C487" s="243" t="str">
        <f t="shared" si="3"/>
        <v/>
      </c>
    </row>
    <row r="488" spans="3:3" x14ac:dyDescent="0.3">
      <c r="C488" s="243" t="str">
        <f t="shared" si="3"/>
        <v/>
      </c>
    </row>
    <row r="489" spans="3:3" x14ac:dyDescent="0.3">
      <c r="C489" s="243" t="str">
        <f t="shared" si="3"/>
        <v/>
      </c>
    </row>
    <row r="490" spans="3:3" x14ac:dyDescent="0.3">
      <c r="C490" s="243" t="str">
        <f t="shared" si="3"/>
        <v/>
      </c>
    </row>
    <row r="491" spans="3:3" x14ac:dyDescent="0.3">
      <c r="C491" s="243" t="str">
        <f t="shared" si="3"/>
        <v/>
      </c>
    </row>
    <row r="492" spans="3:3" x14ac:dyDescent="0.3">
      <c r="C492" s="243" t="str">
        <f t="shared" si="3"/>
        <v/>
      </c>
    </row>
    <row r="493" spans="3:3" x14ac:dyDescent="0.3">
      <c r="C493" s="243" t="str">
        <f t="shared" si="3"/>
        <v/>
      </c>
    </row>
    <row r="494" spans="3:3" x14ac:dyDescent="0.3">
      <c r="C494" s="243" t="str">
        <f t="shared" si="3"/>
        <v/>
      </c>
    </row>
    <row r="495" spans="3:3" x14ac:dyDescent="0.3">
      <c r="C495" s="243" t="str">
        <f t="shared" si="3"/>
        <v/>
      </c>
    </row>
    <row r="496" spans="3:3" x14ac:dyDescent="0.3">
      <c r="C496" s="243" t="str">
        <f t="shared" si="3"/>
        <v/>
      </c>
    </row>
    <row r="497" spans="3:3" x14ac:dyDescent="0.3">
      <c r="C497" s="243" t="str">
        <f t="shared" si="3"/>
        <v/>
      </c>
    </row>
    <row r="498" spans="3:3" x14ac:dyDescent="0.3">
      <c r="C498" s="243" t="str">
        <f t="shared" si="3"/>
        <v/>
      </c>
    </row>
    <row r="499" spans="3:3" x14ac:dyDescent="0.3">
      <c r="C499" s="243" t="str">
        <f t="shared" si="3"/>
        <v/>
      </c>
    </row>
    <row r="500" spans="3:3" x14ac:dyDescent="0.3">
      <c r="C500" s="243" t="str">
        <f t="shared" si="3"/>
        <v/>
      </c>
    </row>
    <row r="501" spans="3:3" x14ac:dyDescent="0.3">
      <c r="C501" s="243" t="str">
        <f t="shared" si="3"/>
        <v/>
      </c>
    </row>
    <row r="502" spans="3:3" x14ac:dyDescent="0.3">
      <c r="C502" s="243" t="str">
        <f t="shared" si="3"/>
        <v/>
      </c>
    </row>
    <row r="503" spans="3:3" x14ac:dyDescent="0.3">
      <c r="C503" s="243" t="str">
        <f t="shared" si="3"/>
        <v/>
      </c>
    </row>
    <row r="504" spans="3:3" x14ac:dyDescent="0.3">
      <c r="C504" s="243" t="str">
        <f t="shared" si="3"/>
        <v/>
      </c>
    </row>
    <row r="505" spans="3:3" x14ac:dyDescent="0.3">
      <c r="C505" s="243" t="str">
        <f t="shared" si="3"/>
        <v/>
      </c>
    </row>
    <row r="506" spans="3:3" x14ac:dyDescent="0.3">
      <c r="C506" s="243" t="str">
        <f t="shared" si="3"/>
        <v/>
      </c>
    </row>
    <row r="508" spans="3:3" x14ac:dyDescent="0.3">
      <c r="C508" s="243" t="str">
        <f t="shared" ref="C508:C549" si="4">IF(B508="","",_xlfn.IFNA(INDEX(diengiaivattu,MATCH(B508,mavattu,0),0),0))</f>
        <v/>
      </c>
    </row>
    <row r="509" spans="3:3" x14ac:dyDescent="0.3">
      <c r="C509" s="243" t="str">
        <f t="shared" si="4"/>
        <v/>
      </c>
    </row>
    <row r="510" spans="3:3" x14ac:dyDescent="0.3">
      <c r="C510" s="243" t="str">
        <f t="shared" si="4"/>
        <v/>
      </c>
    </row>
    <row r="511" spans="3:3" x14ac:dyDescent="0.3">
      <c r="C511" s="243" t="str">
        <f t="shared" si="4"/>
        <v/>
      </c>
    </row>
    <row r="512" spans="3:3" x14ac:dyDescent="0.3">
      <c r="C512" s="243" t="str">
        <f t="shared" si="4"/>
        <v/>
      </c>
    </row>
    <row r="513" spans="3:3" x14ac:dyDescent="0.3">
      <c r="C513" s="243" t="str">
        <f t="shared" si="4"/>
        <v/>
      </c>
    </row>
    <row r="514" spans="3:3" x14ac:dyDescent="0.3">
      <c r="C514" s="243" t="str">
        <f t="shared" si="4"/>
        <v/>
      </c>
    </row>
    <row r="515" spans="3:3" x14ac:dyDescent="0.3">
      <c r="C515" s="243" t="str">
        <f t="shared" si="4"/>
        <v/>
      </c>
    </row>
    <row r="516" spans="3:3" x14ac:dyDescent="0.3">
      <c r="C516" s="243" t="str">
        <f t="shared" si="4"/>
        <v/>
      </c>
    </row>
    <row r="517" spans="3:3" x14ac:dyDescent="0.3">
      <c r="C517" s="243" t="str">
        <f t="shared" si="4"/>
        <v/>
      </c>
    </row>
    <row r="518" spans="3:3" x14ac:dyDescent="0.3">
      <c r="C518" s="243" t="str">
        <f t="shared" si="4"/>
        <v/>
      </c>
    </row>
    <row r="519" spans="3:3" x14ac:dyDescent="0.3">
      <c r="C519" s="243" t="str">
        <f t="shared" si="4"/>
        <v/>
      </c>
    </row>
    <row r="520" spans="3:3" x14ac:dyDescent="0.3">
      <c r="C520" s="243" t="str">
        <f t="shared" si="4"/>
        <v/>
      </c>
    </row>
    <row r="521" spans="3:3" x14ac:dyDescent="0.3">
      <c r="C521" s="243" t="str">
        <f t="shared" si="4"/>
        <v/>
      </c>
    </row>
    <row r="522" spans="3:3" x14ac:dyDescent="0.3">
      <c r="C522" s="243" t="str">
        <f t="shared" si="4"/>
        <v/>
      </c>
    </row>
    <row r="523" spans="3:3" x14ac:dyDescent="0.3">
      <c r="C523" s="243" t="str">
        <f t="shared" si="4"/>
        <v/>
      </c>
    </row>
    <row r="524" spans="3:3" x14ac:dyDescent="0.3">
      <c r="C524" s="243" t="str">
        <f t="shared" si="4"/>
        <v/>
      </c>
    </row>
    <row r="525" spans="3:3" x14ac:dyDescent="0.3">
      <c r="C525" s="243" t="str">
        <f t="shared" si="4"/>
        <v/>
      </c>
    </row>
    <row r="526" spans="3:3" x14ac:dyDescent="0.3">
      <c r="C526" s="243" t="str">
        <f t="shared" si="4"/>
        <v/>
      </c>
    </row>
    <row r="527" spans="3:3" x14ac:dyDescent="0.3">
      <c r="C527" s="243" t="str">
        <f t="shared" si="4"/>
        <v/>
      </c>
    </row>
    <row r="528" spans="3:3" x14ac:dyDescent="0.3">
      <c r="C528" s="243" t="str">
        <f t="shared" si="4"/>
        <v/>
      </c>
    </row>
    <row r="529" spans="3:3" x14ac:dyDescent="0.3">
      <c r="C529" s="243" t="str">
        <f t="shared" si="4"/>
        <v/>
      </c>
    </row>
    <row r="530" spans="3:3" x14ac:dyDescent="0.3">
      <c r="C530" s="243" t="str">
        <f t="shared" si="4"/>
        <v/>
      </c>
    </row>
    <row r="531" spans="3:3" x14ac:dyDescent="0.3">
      <c r="C531" s="243" t="str">
        <f t="shared" si="4"/>
        <v/>
      </c>
    </row>
    <row r="532" spans="3:3" x14ac:dyDescent="0.3">
      <c r="C532" s="243" t="str">
        <f t="shared" si="4"/>
        <v/>
      </c>
    </row>
    <row r="533" spans="3:3" x14ac:dyDescent="0.3">
      <c r="C533" s="243" t="str">
        <f t="shared" si="4"/>
        <v/>
      </c>
    </row>
    <row r="534" spans="3:3" x14ac:dyDescent="0.3">
      <c r="C534" s="243" t="str">
        <f t="shared" si="4"/>
        <v/>
      </c>
    </row>
    <row r="535" spans="3:3" x14ac:dyDescent="0.3">
      <c r="C535" s="243" t="str">
        <f t="shared" si="4"/>
        <v/>
      </c>
    </row>
    <row r="536" spans="3:3" x14ac:dyDescent="0.3">
      <c r="C536" s="243" t="str">
        <f t="shared" si="4"/>
        <v/>
      </c>
    </row>
    <row r="537" spans="3:3" x14ac:dyDescent="0.3">
      <c r="C537" s="243" t="str">
        <f t="shared" si="4"/>
        <v/>
      </c>
    </row>
    <row r="538" spans="3:3" x14ac:dyDescent="0.3">
      <c r="C538" s="243" t="str">
        <f t="shared" si="4"/>
        <v/>
      </c>
    </row>
    <row r="539" spans="3:3" x14ac:dyDescent="0.3">
      <c r="C539" s="243" t="str">
        <f t="shared" si="4"/>
        <v/>
      </c>
    </row>
    <row r="540" spans="3:3" x14ac:dyDescent="0.3">
      <c r="C540" s="243" t="str">
        <f t="shared" si="4"/>
        <v/>
      </c>
    </row>
    <row r="541" spans="3:3" x14ac:dyDescent="0.3">
      <c r="C541" s="243" t="str">
        <f t="shared" si="4"/>
        <v/>
      </c>
    </row>
    <row r="542" spans="3:3" x14ac:dyDescent="0.3">
      <c r="C542" s="243" t="str">
        <f t="shared" si="4"/>
        <v/>
      </c>
    </row>
    <row r="543" spans="3:3" x14ac:dyDescent="0.3">
      <c r="C543" s="243" t="str">
        <f t="shared" si="4"/>
        <v/>
      </c>
    </row>
    <row r="544" spans="3:3" x14ac:dyDescent="0.3">
      <c r="C544" s="243" t="str">
        <f t="shared" si="4"/>
        <v/>
      </c>
    </row>
    <row r="545" spans="3:3" x14ac:dyDescent="0.3">
      <c r="C545" s="243" t="str">
        <f t="shared" si="4"/>
        <v/>
      </c>
    </row>
    <row r="546" spans="3:3" x14ac:dyDescent="0.3">
      <c r="C546" s="243" t="str">
        <f t="shared" si="4"/>
        <v/>
      </c>
    </row>
    <row r="547" spans="3:3" x14ac:dyDescent="0.3">
      <c r="C547" s="243" t="str">
        <f t="shared" si="4"/>
        <v/>
      </c>
    </row>
    <row r="548" spans="3:3" x14ac:dyDescent="0.3">
      <c r="C548" s="243" t="str">
        <f t="shared" si="4"/>
        <v/>
      </c>
    </row>
    <row r="549" spans="3:3" x14ac:dyDescent="0.3">
      <c r="C549" s="243" t="str">
        <f t="shared" si="4"/>
        <v/>
      </c>
    </row>
    <row r="551" spans="3:3" x14ac:dyDescent="0.3">
      <c r="C551" s="243" t="str">
        <f t="shared" ref="C551:C582" si="5">IF(B551="","",_xlfn.IFNA(INDEX(diengiaivattu,MATCH(B551,mavattu,0),0),0))</f>
        <v/>
      </c>
    </row>
    <row r="552" spans="3:3" x14ac:dyDescent="0.3">
      <c r="C552" s="243" t="str">
        <f t="shared" si="5"/>
        <v/>
      </c>
    </row>
    <row r="553" spans="3:3" x14ac:dyDescent="0.3">
      <c r="C553" s="243" t="str">
        <f t="shared" si="5"/>
        <v/>
      </c>
    </row>
    <row r="554" spans="3:3" x14ac:dyDescent="0.3">
      <c r="C554" s="243" t="str">
        <f t="shared" si="5"/>
        <v/>
      </c>
    </row>
    <row r="555" spans="3:3" x14ac:dyDescent="0.3">
      <c r="C555" s="243" t="str">
        <f t="shared" si="5"/>
        <v/>
      </c>
    </row>
    <row r="556" spans="3:3" x14ac:dyDescent="0.3">
      <c r="C556" s="243" t="str">
        <f t="shared" si="5"/>
        <v/>
      </c>
    </row>
    <row r="557" spans="3:3" x14ac:dyDescent="0.3">
      <c r="C557" s="243" t="str">
        <f t="shared" si="5"/>
        <v/>
      </c>
    </row>
    <row r="558" spans="3:3" x14ac:dyDescent="0.3">
      <c r="C558" s="243" t="str">
        <f t="shared" si="5"/>
        <v/>
      </c>
    </row>
    <row r="559" spans="3:3" x14ac:dyDescent="0.3">
      <c r="C559" s="243" t="str">
        <f t="shared" si="5"/>
        <v/>
      </c>
    </row>
    <row r="560" spans="3:3" x14ac:dyDescent="0.3">
      <c r="C560" s="243" t="str">
        <f t="shared" si="5"/>
        <v/>
      </c>
    </row>
    <row r="561" spans="3:3" x14ac:dyDescent="0.3">
      <c r="C561" s="243" t="str">
        <f t="shared" si="5"/>
        <v/>
      </c>
    </row>
    <row r="562" spans="3:3" x14ac:dyDescent="0.3">
      <c r="C562" s="243" t="str">
        <f t="shared" si="5"/>
        <v/>
      </c>
    </row>
    <row r="563" spans="3:3" x14ac:dyDescent="0.3">
      <c r="C563" s="243" t="str">
        <f t="shared" si="5"/>
        <v/>
      </c>
    </row>
    <row r="564" spans="3:3" x14ac:dyDescent="0.3">
      <c r="C564" s="243" t="str">
        <f t="shared" si="5"/>
        <v/>
      </c>
    </row>
    <row r="565" spans="3:3" x14ac:dyDescent="0.3">
      <c r="C565" s="243" t="str">
        <f t="shared" si="5"/>
        <v/>
      </c>
    </row>
    <row r="566" spans="3:3" x14ac:dyDescent="0.3">
      <c r="C566" s="243" t="str">
        <f t="shared" si="5"/>
        <v/>
      </c>
    </row>
    <row r="567" spans="3:3" x14ac:dyDescent="0.3">
      <c r="C567" s="243" t="str">
        <f t="shared" si="5"/>
        <v/>
      </c>
    </row>
    <row r="568" spans="3:3" x14ac:dyDescent="0.3">
      <c r="C568" s="243" t="str">
        <f t="shared" si="5"/>
        <v/>
      </c>
    </row>
    <row r="569" spans="3:3" x14ac:dyDescent="0.3">
      <c r="C569" s="243" t="str">
        <f t="shared" si="5"/>
        <v/>
      </c>
    </row>
    <row r="570" spans="3:3" x14ac:dyDescent="0.3">
      <c r="C570" s="243" t="str">
        <f t="shared" si="5"/>
        <v/>
      </c>
    </row>
    <row r="571" spans="3:3" x14ac:dyDescent="0.3">
      <c r="C571" s="243" t="str">
        <f t="shared" si="5"/>
        <v/>
      </c>
    </row>
    <row r="572" spans="3:3" x14ac:dyDescent="0.3">
      <c r="C572" s="243" t="str">
        <f t="shared" si="5"/>
        <v/>
      </c>
    </row>
    <row r="573" spans="3:3" x14ac:dyDescent="0.3">
      <c r="C573" s="243" t="str">
        <f t="shared" si="5"/>
        <v/>
      </c>
    </row>
    <row r="574" spans="3:3" x14ac:dyDescent="0.3">
      <c r="C574" s="243" t="str">
        <f t="shared" si="5"/>
        <v/>
      </c>
    </row>
    <row r="575" spans="3:3" x14ac:dyDescent="0.3">
      <c r="C575" s="243" t="str">
        <f t="shared" si="5"/>
        <v/>
      </c>
    </row>
    <row r="576" spans="3:3" x14ac:dyDescent="0.3">
      <c r="C576" s="243" t="str">
        <f t="shared" si="5"/>
        <v/>
      </c>
    </row>
    <row r="577" spans="3:3" x14ac:dyDescent="0.3">
      <c r="C577" s="243" t="str">
        <f t="shared" si="5"/>
        <v/>
      </c>
    </row>
    <row r="578" spans="3:3" x14ac:dyDescent="0.3">
      <c r="C578" s="243" t="str">
        <f t="shared" si="5"/>
        <v/>
      </c>
    </row>
    <row r="579" spans="3:3" x14ac:dyDescent="0.3">
      <c r="C579" s="243" t="str">
        <f t="shared" si="5"/>
        <v/>
      </c>
    </row>
    <row r="580" spans="3:3" x14ac:dyDescent="0.3">
      <c r="C580" s="243" t="str">
        <f t="shared" si="5"/>
        <v/>
      </c>
    </row>
    <row r="581" spans="3:3" x14ac:dyDescent="0.3">
      <c r="C581" s="243" t="str">
        <f t="shared" si="5"/>
        <v/>
      </c>
    </row>
    <row r="582" spans="3:3" x14ac:dyDescent="0.3">
      <c r="C582" s="243" t="str">
        <f t="shared" si="5"/>
        <v/>
      </c>
    </row>
    <row r="583" spans="3:3" x14ac:dyDescent="0.3">
      <c r="C583" s="243" t="str">
        <f t="shared" ref="C583:C614" si="6">IF(B583="","",_xlfn.IFNA(INDEX(diengiaivattu,MATCH(B583,mavattu,0),0),0))</f>
        <v/>
      </c>
    </row>
    <row r="584" spans="3:3" x14ac:dyDescent="0.3">
      <c r="C584" s="243" t="str">
        <f t="shared" si="6"/>
        <v/>
      </c>
    </row>
    <row r="585" spans="3:3" x14ac:dyDescent="0.3">
      <c r="C585" s="243" t="str">
        <f t="shared" si="6"/>
        <v/>
      </c>
    </row>
    <row r="586" spans="3:3" x14ac:dyDescent="0.3">
      <c r="C586" s="243" t="str">
        <f t="shared" si="6"/>
        <v/>
      </c>
    </row>
    <row r="587" spans="3:3" x14ac:dyDescent="0.3">
      <c r="C587" s="243" t="str">
        <f t="shared" si="6"/>
        <v/>
      </c>
    </row>
    <row r="588" spans="3:3" x14ac:dyDescent="0.3">
      <c r="C588" s="243" t="str">
        <f t="shared" si="6"/>
        <v/>
      </c>
    </row>
    <row r="589" spans="3:3" x14ac:dyDescent="0.3">
      <c r="C589" s="243" t="str">
        <f t="shared" si="6"/>
        <v/>
      </c>
    </row>
    <row r="590" spans="3:3" x14ac:dyDescent="0.3">
      <c r="C590" s="243" t="str">
        <f t="shared" si="6"/>
        <v/>
      </c>
    </row>
    <row r="591" spans="3:3" x14ac:dyDescent="0.3">
      <c r="C591" s="243" t="str">
        <f t="shared" si="6"/>
        <v/>
      </c>
    </row>
    <row r="592" spans="3:3" x14ac:dyDescent="0.3">
      <c r="C592" s="243" t="str">
        <f t="shared" si="6"/>
        <v/>
      </c>
    </row>
    <row r="593" spans="3:3" x14ac:dyDescent="0.3">
      <c r="C593" s="243" t="str">
        <f t="shared" si="6"/>
        <v/>
      </c>
    </row>
    <row r="594" spans="3:3" x14ac:dyDescent="0.3">
      <c r="C594" s="243" t="str">
        <f t="shared" si="6"/>
        <v/>
      </c>
    </row>
    <row r="595" spans="3:3" x14ac:dyDescent="0.3">
      <c r="C595" s="243" t="str">
        <f t="shared" si="6"/>
        <v/>
      </c>
    </row>
    <row r="596" spans="3:3" x14ac:dyDescent="0.3">
      <c r="C596" s="243" t="str">
        <f t="shared" si="6"/>
        <v/>
      </c>
    </row>
    <row r="597" spans="3:3" x14ac:dyDescent="0.3">
      <c r="C597" s="243" t="str">
        <f t="shared" si="6"/>
        <v/>
      </c>
    </row>
    <row r="598" spans="3:3" x14ac:dyDescent="0.3">
      <c r="C598" s="243" t="str">
        <f t="shared" si="6"/>
        <v/>
      </c>
    </row>
    <row r="599" spans="3:3" x14ac:dyDescent="0.3">
      <c r="C599" s="243" t="str">
        <f t="shared" si="6"/>
        <v/>
      </c>
    </row>
    <row r="600" spans="3:3" x14ac:dyDescent="0.3">
      <c r="C600" s="243" t="str">
        <f t="shared" si="6"/>
        <v/>
      </c>
    </row>
    <row r="601" spans="3:3" x14ac:dyDescent="0.3">
      <c r="C601" s="243" t="str">
        <f t="shared" si="6"/>
        <v/>
      </c>
    </row>
    <row r="602" spans="3:3" x14ac:dyDescent="0.3">
      <c r="C602" s="243" t="str">
        <f t="shared" si="6"/>
        <v/>
      </c>
    </row>
    <row r="603" spans="3:3" x14ac:dyDescent="0.3">
      <c r="C603" s="243" t="str">
        <f t="shared" si="6"/>
        <v/>
      </c>
    </row>
    <row r="604" spans="3:3" x14ac:dyDescent="0.3">
      <c r="C604" s="243" t="str">
        <f t="shared" si="6"/>
        <v/>
      </c>
    </row>
    <row r="605" spans="3:3" x14ac:dyDescent="0.3">
      <c r="C605" s="243" t="str">
        <f t="shared" si="6"/>
        <v/>
      </c>
    </row>
    <row r="606" spans="3:3" x14ac:dyDescent="0.3">
      <c r="C606" s="243" t="str">
        <f t="shared" si="6"/>
        <v/>
      </c>
    </row>
    <row r="607" spans="3:3" x14ac:dyDescent="0.3">
      <c r="C607" s="243" t="str">
        <f t="shared" si="6"/>
        <v/>
      </c>
    </row>
    <row r="608" spans="3:3" x14ac:dyDescent="0.3">
      <c r="C608" s="243" t="str">
        <f t="shared" si="6"/>
        <v/>
      </c>
    </row>
    <row r="609" spans="3:3" x14ac:dyDescent="0.3">
      <c r="C609" s="243" t="str">
        <f t="shared" si="6"/>
        <v/>
      </c>
    </row>
    <row r="610" spans="3:3" x14ac:dyDescent="0.3">
      <c r="C610" s="243" t="str">
        <f t="shared" si="6"/>
        <v/>
      </c>
    </row>
    <row r="611" spans="3:3" x14ac:dyDescent="0.3">
      <c r="C611" s="243" t="str">
        <f t="shared" si="6"/>
        <v/>
      </c>
    </row>
    <row r="612" spans="3:3" x14ac:dyDescent="0.3">
      <c r="C612" s="243" t="str">
        <f t="shared" si="6"/>
        <v/>
      </c>
    </row>
    <row r="613" spans="3:3" x14ac:dyDescent="0.3">
      <c r="C613" s="243" t="str">
        <f t="shared" si="6"/>
        <v/>
      </c>
    </row>
    <row r="614" spans="3:3" x14ac:dyDescent="0.3">
      <c r="C614" s="243" t="str">
        <f t="shared" si="6"/>
        <v/>
      </c>
    </row>
    <row r="615" spans="3:3" x14ac:dyDescent="0.3">
      <c r="C615" s="243" t="str">
        <f t="shared" ref="C615:C646" si="7">IF(B615="","",_xlfn.IFNA(INDEX(diengiaivattu,MATCH(B615,mavattu,0),0),0))</f>
        <v/>
      </c>
    </row>
    <row r="616" spans="3:3" x14ac:dyDescent="0.3">
      <c r="C616" s="243" t="str">
        <f t="shared" si="7"/>
        <v/>
      </c>
    </row>
    <row r="617" spans="3:3" x14ac:dyDescent="0.3">
      <c r="C617" s="243" t="str">
        <f t="shared" si="7"/>
        <v/>
      </c>
    </row>
    <row r="618" spans="3:3" x14ac:dyDescent="0.3">
      <c r="C618" s="243" t="str">
        <f t="shared" si="7"/>
        <v/>
      </c>
    </row>
    <row r="619" spans="3:3" x14ac:dyDescent="0.3">
      <c r="C619" s="243" t="str">
        <f t="shared" si="7"/>
        <v/>
      </c>
    </row>
    <row r="620" spans="3:3" x14ac:dyDescent="0.3">
      <c r="C620" s="243" t="str">
        <f t="shared" si="7"/>
        <v/>
      </c>
    </row>
    <row r="621" spans="3:3" x14ac:dyDescent="0.3">
      <c r="C621" s="243" t="str">
        <f t="shared" si="7"/>
        <v/>
      </c>
    </row>
    <row r="622" spans="3:3" x14ac:dyDescent="0.3">
      <c r="C622" s="243" t="str">
        <f t="shared" si="7"/>
        <v/>
      </c>
    </row>
    <row r="623" spans="3:3" x14ac:dyDescent="0.3">
      <c r="C623" s="243" t="str">
        <f t="shared" si="7"/>
        <v/>
      </c>
    </row>
    <row r="624" spans="3:3" x14ac:dyDescent="0.3">
      <c r="C624" s="243" t="str">
        <f t="shared" si="7"/>
        <v/>
      </c>
    </row>
    <row r="625" spans="3:3" x14ac:dyDescent="0.3">
      <c r="C625" s="243" t="str">
        <f t="shared" si="7"/>
        <v/>
      </c>
    </row>
    <row r="626" spans="3:3" x14ac:dyDescent="0.3">
      <c r="C626" s="243" t="str">
        <f t="shared" si="7"/>
        <v/>
      </c>
    </row>
    <row r="627" spans="3:3" x14ac:dyDescent="0.3">
      <c r="C627" s="243" t="str">
        <f t="shared" si="7"/>
        <v/>
      </c>
    </row>
    <row r="628" spans="3:3" x14ac:dyDescent="0.3">
      <c r="C628" s="243" t="str">
        <f t="shared" si="7"/>
        <v/>
      </c>
    </row>
    <row r="629" spans="3:3" x14ac:dyDescent="0.3">
      <c r="C629" s="243" t="str">
        <f t="shared" si="7"/>
        <v/>
      </c>
    </row>
    <row r="630" spans="3:3" x14ac:dyDescent="0.3">
      <c r="C630" s="243" t="str">
        <f t="shared" si="7"/>
        <v/>
      </c>
    </row>
    <row r="631" spans="3:3" x14ac:dyDescent="0.3">
      <c r="C631" s="243" t="str">
        <f t="shared" si="7"/>
        <v/>
      </c>
    </row>
    <row r="632" spans="3:3" x14ac:dyDescent="0.3">
      <c r="C632" s="243" t="str">
        <f t="shared" si="7"/>
        <v/>
      </c>
    </row>
    <row r="633" spans="3:3" x14ac:dyDescent="0.3">
      <c r="C633" s="243" t="str">
        <f t="shared" si="7"/>
        <v/>
      </c>
    </row>
    <row r="634" spans="3:3" x14ac:dyDescent="0.3">
      <c r="C634" s="243" t="str">
        <f t="shared" si="7"/>
        <v/>
      </c>
    </row>
    <row r="635" spans="3:3" x14ac:dyDescent="0.3">
      <c r="C635" s="243" t="str">
        <f t="shared" si="7"/>
        <v/>
      </c>
    </row>
    <row r="636" spans="3:3" x14ac:dyDescent="0.3">
      <c r="C636" s="243" t="str">
        <f t="shared" si="7"/>
        <v/>
      </c>
    </row>
    <row r="637" spans="3:3" x14ac:dyDescent="0.3">
      <c r="C637" s="243" t="str">
        <f t="shared" si="7"/>
        <v/>
      </c>
    </row>
    <row r="638" spans="3:3" x14ac:dyDescent="0.3">
      <c r="C638" s="243" t="str">
        <f t="shared" si="7"/>
        <v/>
      </c>
    </row>
    <row r="639" spans="3:3" x14ac:dyDescent="0.3">
      <c r="C639" s="243" t="str">
        <f t="shared" si="7"/>
        <v/>
      </c>
    </row>
    <row r="640" spans="3:3" x14ac:dyDescent="0.3">
      <c r="C640" s="243" t="str">
        <f t="shared" si="7"/>
        <v/>
      </c>
    </row>
    <row r="641" spans="3:3" x14ac:dyDescent="0.3">
      <c r="C641" s="243" t="str">
        <f t="shared" si="7"/>
        <v/>
      </c>
    </row>
    <row r="642" spans="3:3" x14ac:dyDescent="0.3">
      <c r="C642" s="243" t="str">
        <f t="shared" si="7"/>
        <v/>
      </c>
    </row>
    <row r="643" spans="3:3" x14ac:dyDescent="0.3">
      <c r="C643" s="243" t="str">
        <f t="shared" si="7"/>
        <v/>
      </c>
    </row>
    <row r="644" spans="3:3" x14ac:dyDescent="0.3">
      <c r="C644" s="243" t="str">
        <f t="shared" si="7"/>
        <v/>
      </c>
    </row>
    <row r="645" spans="3:3" x14ac:dyDescent="0.3">
      <c r="C645" s="243" t="str">
        <f t="shared" si="7"/>
        <v/>
      </c>
    </row>
    <row r="646" spans="3:3" x14ac:dyDescent="0.3">
      <c r="C646" s="243" t="str">
        <f t="shared" si="7"/>
        <v/>
      </c>
    </row>
    <row r="647" spans="3:3" x14ac:dyDescent="0.3">
      <c r="C647" s="243" t="str">
        <f t="shared" ref="C647:C677" si="8">IF(B647="","",_xlfn.IFNA(INDEX(diengiaivattu,MATCH(B647,mavattu,0),0),0))</f>
        <v/>
      </c>
    </row>
    <row r="648" spans="3:3" x14ac:dyDescent="0.3">
      <c r="C648" s="243" t="str">
        <f t="shared" si="8"/>
        <v/>
      </c>
    </row>
    <row r="649" spans="3:3" x14ac:dyDescent="0.3">
      <c r="C649" s="243" t="str">
        <f t="shared" si="8"/>
        <v/>
      </c>
    </row>
    <row r="650" spans="3:3" x14ac:dyDescent="0.3">
      <c r="C650" s="243" t="str">
        <f t="shared" si="8"/>
        <v/>
      </c>
    </row>
    <row r="651" spans="3:3" x14ac:dyDescent="0.3">
      <c r="C651" s="243" t="str">
        <f t="shared" si="8"/>
        <v/>
      </c>
    </row>
    <row r="652" spans="3:3" x14ac:dyDescent="0.3">
      <c r="C652" s="243" t="str">
        <f t="shared" si="8"/>
        <v/>
      </c>
    </row>
    <row r="653" spans="3:3" x14ac:dyDescent="0.3">
      <c r="C653" s="243" t="str">
        <f t="shared" si="8"/>
        <v/>
      </c>
    </row>
    <row r="654" spans="3:3" x14ac:dyDescent="0.3">
      <c r="C654" s="243" t="str">
        <f t="shared" si="8"/>
        <v/>
      </c>
    </row>
    <row r="655" spans="3:3" x14ac:dyDescent="0.3">
      <c r="C655" s="243" t="str">
        <f t="shared" si="8"/>
        <v/>
      </c>
    </row>
    <row r="656" spans="3:3" x14ac:dyDescent="0.3">
      <c r="C656" s="243" t="str">
        <f t="shared" si="8"/>
        <v/>
      </c>
    </row>
    <row r="657" spans="3:3" x14ac:dyDescent="0.3">
      <c r="C657" s="243" t="str">
        <f t="shared" si="8"/>
        <v/>
      </c>
    </row>
    <row r="658" spans="3:3" x14ac:dyDescent="0.3">
      <c r="C658" s="243" t="str">
        <f t="shared" si="8"/>
        <v/>
      </c>
    </row>
    <row r="659" spans="3:3" x14ac:dyDescent="0.3">
      <c r="C659" s="243" t="str">
        <f t="shared" si="8"/>
        <v/>
      </c>
    </row>
    <row r="660" spans="3:3" x14ac:dyDescent="0.3">
      <c r="C660" s="243" t="str">
        <f t="shared" si="8"/>
        <v/>
      </c>
    </row>
    <row r="661" spans="3:3" x14ac:dyDescent="0.3">
      <c r="C661" s="243" t="str">
        <f t="shared" si="8"/>
        <v/>
      </c>
    </row>
    <row r="662" spans="3:3" x14ac:dyDescent="0.3">
      <c r="C662" s="243" t="str">
        <f t="shared" si="8"/>
        <v/>
      </c>
    </row>
    <row r="663" spans="3:3" x14ac:dyDescent="0.3">
      <c r="C663" s="243" t="str">
        <f t="shared" si="8"/>
        <v/>
      </c>
    </row>
    <row r="664" spans="3:3" x14ac:dyDescent="0.3">
      <c r="C664" s="243" t="str">
        <f t="shared" si="8"/>
        <v/>
      </c>
    </row>
    <row r="665" spans="3:3" x14ac:dyDescent="0.3">
      <c r="C665" s="243" t="str">
        <f t="shared" si="8"/>
        <v/>
      </c>
    </row>
    <row r="666" spans="3:3" x14ac:dyDescent="0.3">
      <c r="C666" s="243" t="str">
        <f t="shared" si="8"/>
        <v/>
      </c>
    </row>
    <row r="667" spans="3:3" x14ac:dyDescent="0.3">
      <c r="C667" s="243" t="str">
        <f t="shared" si="8"/>
        <v/>
      </c>
    </row>
    <row r="668" spans="3:3" x14ac:dyDescent="0.3">
      <c r="C668" s="243" t="str">
        <f t="shared" si="8"/>
        <v/>
      </c>
    </row>
    <row r="669" spans="3:3" x14ac:dyDescent="0.3">
      <c r="C669" s="243" t="str">
        <f t="shared" si="8"/>
        <v/>
      </c>
    </row>
    <row r="670" spans="3:3" x14ac:dyDescent="0.3">
      <c r="C670" s="243" t="str">
        <f t="shared" si="8"/>
        <v/>
      </c>
    </row>
    <row r="671" spans="3:3" x14ac:dyDescent="0.3">
      <c r="C671" s="243" t="str">
        <f t="shared" si="8"/>
        <v/>
      </c>
    </row>
    <row r="672" spans="3:3" x14ac:dyDescent="0.3">
      <c r="C672" s="243" t="str">
        <f t="shared" si="8"/>
        <v/>
      </c>
    </row>
    <row r="673" spans="3:3" x14ac:dyDescent="0.3">
      <c r="C673" s="243" t="str">
        <f t="shared" si="8"/>
        <v/>
      </c>
    </row>
    <row r="674" spans="3:3" x14ac:dyDescent="0.3">
      <c r="C674" s="243" t="str">
        <f t="shared" si="8"/>
        <v/>
      </c>
    </row>
    <row r="675" spans="3:3" x14ac:dyDescent="0.3">
      <c r="C675" s="243" t="str">
        <f t="shared" si="8"/>
        <v/>
      </c>
    </row>
    <row r="676" spans="3:3" x14ac:dyDescent="0.3">
      <c r="C676" s="243" t="str">
        <f t="shared" si="8"/>
        <v/>
      </c>
    </row>
    <row r="677" spans="3:3" x14ac:dyDescent="0.3">
      <c r="C677" s="243" t="str">
        <f t="shared" si="8"/>
        <v/>
      </c>
    </row>
  </sheetData>
  <dataConsolidate link="1"/>
  <mergeCells count="8">
    <mergeCell ref="A188:G188"/>
    <mergeCell ref="H1:I1"/>
    <mergeCell ref="H2:I2"/>
    <mergeCell ref="G3:I3"/>
    <mergeCell ref="G4:I4"/>
    <mergeCell ref="G5:I5"/>
    <mergeCell ref="A6:A11"/>
    <mergeCell ref="G6:I6"/>
  </mergeCells>
  <conditionalFormatting sqref="E2:H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{54DBCD5B-997A-445C-BFCA-16B14802AA96}</x14:id>
        </ext>
      </extLst>
    </cfRule>
  </conditionalFormatting>
  <dataValidations count="1">
    <dataValidation type="list" allowBlank="1" showInputMessage="1" showErrorMessage="1" sqref="C2:C3" xr:uid="{62CFDD32-B0B2-406A-A3AC-3A96EE287433}">
      <formula1>makinh</formula1>
    </dataValidation>
  </dataValidations>
  <pageMargins left="0.43307086614173229" right="0.27559055118110237" top="0.55118110236220474" bottom="0.74803149606299213" header="0.31496062992125984" footer="0.31496062992125984"/>
  <pageSetup paperSize="9" scale="1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DBCD5B-997A-445C-BFCA-16B14802AA96}">
            <x14:dataBar minLength="0" maxLength="100" negativeBarColorSameAsPositive="1" axisPosition="none">
              <x14:cfvo type="min"/>
              <x14:cfvo type="max"/>
            </x14:dataBar>
          </x14:cfRule>
          <xm:sqref>E2:H2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013F-ED46-47B2-B5B4-3B0B22EA234F}">
  <sheetPr codeName="Sheet61">
    <tabColor rgb="FF00B050"/>
    <outlinePr summaryBelow="0" summaryRight="0"/>
    <pageSetUpPr fitToPage="1"/>
  </sheetPr>
  <dimension ref="A1:L188"/>
  <sheetViews>
    <sheetView showGridLines="0" view="pageBreakPreview" zoomScaleNormal="100" zoomScaleSheetLayoutView="100" workbookViewId="0">
      <pane ySplit="12" topLeftCell="A13" activePane="bottomLeft" state="frozen"/>
      <selection activeCell="F131" sqref="F131"/>
      <selection pane="bottomLeft" activeCell="F131" sqref="F131"/>
    </sheetView>
  </sheetViews>
  <sheetFormatPr defaultColWidth="9.33203125" defaultRowHeight="13.2" outlineLevelRow="1" outlineLevelCol="1" x14ac:dyDescent="0.3"/>
  <cols>
    <col min="1" max="1" width="33.109375" style="389" customWidth="1"/>
    <col min="2" max="2" width="16.5546875" style="390" customWidth="1"/>
    <col min="3" max="3" width="10.6640625" style="243" customWidth="1"/>
    <col min="4" max="4" width="15.6640625" style="243" customWidth="1"/>
    <col min="5" max="5" width="14.6640625" style="243" customWidth="1"/>
    <col min="6" max="6" width="12.44140625" style="243" customWidth="1"/>
    <col min="7" max="7" width="14.5546875" style="390" customWidth="1"/>
    <col min="8" max="8" width="11" style="243" customWidth="1"/>
    <col min="9" max="9" width="12.44140625" style="243" bestFit="1" customWidth="1"/>
    <col min="10" max="10" width="7.5546875" style="243" customWidth="1" outlineLevel="1"/>
    <col min="11" max="13" width="9.109375" style="243" customWidth="1"/>
    <col min="14" max="87" width="10.33203125" style="243" customWidth="1"/>
    <col min="88" max="16384" width="9.33203125" style="243"/>
  </cols>
  <sheetData>
    <row r="1" spans="1:11" ht="19.5" customHeight="1" x14ac:dyDescent="0.3">
      <c r="A1" s="238" t="s">
        <v>204</v>
      </c>
      <c r="B1" s="238" t="s">
        <v>205</v>
      </c>
      <c r="C1" s="238" t="s">
        <v>206</v>
      </c>
      <c r="D1" s="239"/>
      <c r="E1" s="240" t="str">
        <f>"Nhôm: "&amp;ROUND(I13/I188*100,0)&amp;"%"</f>
        <v>Nhôm: 45%</v>
      </c>
      <c r="F1" s="240" t="str">
        <f>"Kính: "&amp;ROUND(I112/I188*100,0)&amp;"%"</f>
        <v>Kính: 12%</v>
      </c>
      <c r="G1" s="240" t="str">
        <f>"Vật tư phụ: "&amp;100-(ROUND(I13/I188*100,0)+ROUND(I112/I188*100,0)+ROUND((I126+I186)/I188*100,0))&amp;"%"</f>
        <v>Vật tư phụ: 17%</v>
      </c>
      <c r="H1" s="241" t="str">
        <f>"Nhân công: "&amp;ROUND((I126+I186)/I188*100,0)&amp;"%"</f>
        <v>Nhân công: 26%</v>
      </c>
      <c r="I1" s="242"/>
    </row>
    <row r="2" spans="1:11" ht="14.25" customHeight="1" x14ac:dyDescent="0.3">
      <c r="A2" s="244" t="str">
        <f>pkcn50.65</f>
        <v>Draho</v>
      </c>
      <c r="B2" s="245" t="s">
        <v>146</v>
      </c>
      <c r="C2" s="246" t="s">
        <v>71</v>
      </c>
      <c r="D2" s="239"/>
      <c r="E2" s="247">
        <f>I13/I188*F4</f>
        <v>1525398.4224047461</v>
      </c>
      <c r="F2" s="247">
        <f>I112/I188*F4</f>
        <v>408179.59189537138</v>
      </c>
      <c r="G2" s="247">
        <f>F4-(E2+F2+H2)</f>
        <v>572272.87081937026</v>
      </c>
      <c r="H2" s="248">
        <f>(I126+I186)/I188*F4</f>
        <v>903149.11488051235</v>
      </c>
      <c r="I2" s="248"/>
    </row>
    <row r="3" spans="1:11" ht="14.25" customHeight="1" x14ac:dyDescent="0.3">
      <c r="A3" s="249" t="s">
        <v>207</v>
      </c>
      <c r="B3" s="250"/>
      <c r="C3" s="246" t="s">
        <v>71</v>
      </c>
      <c r="E3" s="251" t="s">
        <v>208</v>
      </c>
      <c r="F3" s="252" t="s">
        <v>148</v>
      </c>
      <c r="G3" s="253" t="s">
        <v>250</v>
      </c>
      <c r="H3" s="253"/>
      <c r="I3" s="253"/>
    </row>
    <row r="4" spans="1:11" ht="14.25" customHeight="1" x14ac:dyDescent="0.3">
      <c r="A4" s="249"/>
      <c r="B4" s="250"/>
      <c r="C4" s="254"/>
      <c r="E4" s="255" t="s">
        <v>210</v>
      </c>
      <c r="F4" s="256">
        <f>ROUNDUP(F6/F5,-3)</f>
        <v>3409000</v>
      </c>
      <c r="G4" s="257" t="s">
        <v>211</v>
      </c>
      <c r="H4" s="258"/>
      <c r="I4" s="259"/>
    </row>
    <row r="5" spans="1:11" ht="14.25" customHeight="1" x14ac:dyDescent="0.3">
      <c r="A5" s="249"/>
      <c r="B5" s="250"/>
      <c r="C5" s="254"/>
      <c r="E5" s="260" t="s">
        <v>212</v>
      </c>
      <c r="F5" s="261">
        <f>C6*C7</f>
        <v>1.32</v>
      </c>
      <c r="G5" s="262" t="str">
        <f>"- "&amp;INDEX(tenkinh,MATCH(C2,makinh,0),0)</f>
        <v>- Kính trắng cường lực dày 8mm</v>
      </c>
      <c r="H5" s="262"/>
      <c r="I5" s="262"/>
    </row>
    <row r="6" spans="1:11" ht="14.25" customHeight="1" x14ac:dyDescent="0.3">
      <c r="A6" s="263" t="s">
        <v>213</v>
      </c>
      <c r="B6" s="264" t="s">
        <v>214</v>
      </c>
      <c r="C6" s="265">
        <v>1.2</v>
      </c>
      <c r="E6" s="260" t="s">
        <v>215</v>
      </c>
      <c r="F6" s="266">
        <f>I188/(1-bctc-cpcty-dpp-dpbh-cpk)</f>
        <v>4499062.6804185295</v>
      </c>
      <c r="G6" s="262" t="str">
        <f>INDEX(ghichuvattu,MATCH($A$3,mavattu,0))</f>
        <v>- Phụ kiện bánh xe đôi, khóa âm đồng bộ Draho</v>
      </c>
      <c r="H6" s="262"/>
      <c r="I6" s="262"/>
    </row>
    <row r="7" spans="1:11" ht="14.25" customHeight="1" x14ac:dyDescent="0.3">
      <c r="A7" s="267"/>
      <c r="B7" s="264" t="s">
        <v>216</v>
      </c>
      <c r="C7" s="265">
        <v>1.1000000000000001</v>
      </c>
      <c r="E7" s="244" t="s">
        <v>217</v>
      </c>
      <c r="F7" s="268">
        <f>SUMIF(MACUA,F3,SOLUONG)</f>
        <v>100</v>
      </c>
      <c r="G7" s="269"/>
      <c r="H7" s="270"/>
      <c r="I7" s="270"/>
    </row>
    <row r="8" spans="1:11" ht="14.25" customHeight="1" x14ac:dyDescent="0.3">
      <c r="A8" s="267"/>
      <c r="B8" s="271" t="s">
        <v>218</v>
      </c>
      <c r="C8" s="272">
        <f>C6</f>
        <v>1.2</v>
      </c>
      <c r="D8" s="243" t="s">
        <v>251</v>
      </c>
      <c r="E8" s="244" t="s">
        <v>219</v>
      </c>
      <c r="F8" s="273">
        <f>G121/F5/2</f>
        <v>0.73167766666666667</v>
      </c>
      <c r="G8" s="274"/>
      <c r="H8" s="274"/>
      <c r="I8" s="274"/>
    </row>
    <row r="9" spans="1:11" ht="14.25" customHeight="1" x14ac:dyDescent="0.3">
      <c r="A9" s="267"/>
      <c r="B9" s="271" t="s">
        <v>220</v>
      </c>
      <c r="C9" s="272">
        <v>0.6</v>
      </c>
      <c r="D9" s="243" t="s">
        <v>251</v>
      </c>
      <c r="E9" s="275"/>
      <c r="F9" s="275"/>
      <c r="G9" s="276"/>
      <c r="H9" s="276"/>
      <c r="I9" s="276"/>
    </row>
    <row r="10" spans="1:11" ht="14.25" customHeight="1" x14ac:dyDescent="0.3">
      <c r="A10" s="267"/>
      <c r="B10" s="277" t="s">
        <v>221</v>
      </c>
      <c r="C10" s="278">
        <f>C6</f>
        <v>1.2</v>
      </c>
      <c r="D10" s="270" t="s">
        <v>252</v>
      </c>
      <c r="E10" s="275"/>
      <c r="F10" s="275"/>
      <c r="G10" s="276"/>
      <c r="H10" s="276"/>
      <c r="I10" s="276"/>
    </row>
    <row r="11" spans="1:11" ht="14.25" customHeight="1" x14ac:dyDescent="0.3">
      <c r="A11" s="279"/>
      <c r="B11" s="277" t="s">
        <v>222</v>
      </c>
      <c r="C11" s="278">
        <f>C7-C9</f>
        <v>0.50000000000000011</v>
      </c>
      <c r="D11" s="270" t="s">
        <v>252</v>
      </c>
      <c r="E11" s="275"/>
      <c r="F11" s="275"/>
      <c r="G11" s="276"/>
      <c r="H11" s="276"/>
      <c r="I11" s="276"/>
    </row>
    <row r="12" spans="1:11" ht="26.4" x14ac:dyDescent="0.3">
      <c r="A12" s="280" t="s">
        <v>223</v>
      </c>
      <c r="B12" s="281" t="s">
        <v>224</v>
      </c>
      <c r="C12" s="281" t="s">
        <v>225</v>
      </c>
      <c r="D12" s="281" t="s">
        <v>226</v>
      </c>
      <c r="E12" s="281" t="s">
        <v>142</v>
      </c>
      <c r="F12" s="281" t="s">
        <v>227</v>
      </c>
      <c r="G12" s="281" t="s">
        <v>228</v>
      </c>
      <c r="H12" s="281" t="s">
        <v>229</v>
      </c>
      <c r="I12" s="281" t="s">
        <v>230</v>
      </c>
    </row>
    <row r="13" spans="1:11" x14ac:dyDescent="0.3">
      <c r="A13" s="282" t="s">
        <v>231</v>
      </c>
      <c r="B13" s="283"/>
      <c r="C13" s="284"/>
      <c r="D13" s="284"/>
      <c r="E13" s="284"/>
      <c r="F13" s="285"/>
      <c r="G13" s="286">
        <f>SUBTOTAL(9,G14:G71)</f>
        <v>11.859492445200003</v>
      </c>
      <c r="H13" s="287"/>
      <c r="I13" s="287">
        <f>SUBTOTAL(9,I14:I71)</f>
        <v>1348817.3326655999</v>
      </c>
    </row>
    <row r="14" spans="1:11" x14ac:dyDescent="0.3">
      <c r="A14" s="288" t="str">
        <f>IFERROR(INDEX(TENPROFILE,MATCH(B14,MAPROFILE,0)),"")</f>
        <v>Khung bao sổ lùa</v>
      </c>
      <c r="B14" s="289" t="s">
        <v>50</v>
      </c>
      <c r="C14" s="290" t="s">
        <v>220</v>
      </c>
      <c r="D14" s="291">
        <f>INDEX($B$4:$C$11,MATCH(C14,$B$4:$B$11,0),2)-J14</f>
        <v>0.59499999999999997</v>
      </c>
      <c r="E14" s="289">
        <v>2</v>
      </c>
      <c r="F14" s="292">
        <f>IFERROR(VLOOKUP(B14,Alu_data,2,0),"")</f>
        <v>0.90100000000000002</v>
      </c>
      <c r="G14" s="291">
        <f>(1+hp_nhom)*D14*E14*F14</f>
        <v>1.1365214000000001</v>
      </c>
      <c r="H14" s="293">
        <f>gn_csl</f>
        <v>116300</v>
      </c>
      <c r="I14" s="293">
        <f>G14*H14</f>
        <v>132177.43882000001</v>
      </c>
      <c r="J14" s="294">
        <f>0.005</f>
        <v>5.0000000000000001E-3</v>
      </c>
      <c r="K14" s="295"/>
    </row>
    <row r="15" spans="1:11" x14ac:dyDescent="0.3">
      <c r="A15" s="296" t="str">
        <f>IFERROR(INDEX(TENPROFILE,MATCH(B15,MAPROFILE,0)),"")</f>
        <v>Khung bao sổ lùa</v>
      </c>
      <c r="B15" s="297" t="s">
        <v>50</v>
      </c>
      <c r="C15" s="298" t="s">
        <v>218</v>
      </c>
      <c r="D15" s="299">
        <f>INDEX($B$4:$C$11,MATCH(C15,$B$4:$B$11,0),2)-J15</f>
        <v>1.19</v>
      </c>
      <c r="E15" s="297">
        <v>2</v>
      </c>
      <c r="F15" s="300">
        <f>IFERROR(VLOOKUP(B15,Alu_data,2,0),"")</f>
        <v>0.90100000000000002</v>
      </c>
      <c r="G15" s="299">
        <f>(1+hp_nhom)*D15*E15*F15</f>
        <v>2.2730428000000003</v>
      </c>
      <c r="H15" s="301">
        <f>gn_csl</f>
        <v>116300</v>
      </c>
      <c r="I15" s="301">
        <f>G15*H15</f>
        <v>264354.87764000002</v>
      </c>
      <c r="J15" s="294">
        <f>0.005*2</f>
        <v>0.01</v>
      </c>
      <c r="K15" s="295"/>
    </row>
    <row r="16" spans="1:11" x14ac:dyDescent="0.3">
      <c r="A16" s="296" t="str">
        <f>IFERROR(INDEX(TENPROFILE,MATCH(B16,MAPROFILE,0)),"")</f>
        <v>Thanh ray</v>
      </c>
      <c r="B16" s="297" t="s">
        <v>53</v>
      </c>
      <c r="C16" s="298" t="s">
        <v>218</v>
      </c>
      <c r="D16" s="299">
        <f>INDEX($B$4:$C$11,MATCH(C16,$B$4:$B$11,0),2)-J16</f>
        <v>1.1159999999999999</v>
      </c>
      <c r="E16" s="297">
        <v>2</v>
      </c>
      <c r="F16" s="300">
        <f>IFERROR(VLOOKUP(B16,Alu_data,2,0),"")</f>
        <v>9.2999999999999999E-2</v>
      </c>
      <c r="G16" s="299">
        <f>(1+hp_nhom)*D16*E16*F16</f>
        <v>0.22003056000000001</v>
      </c>
      <c r="H16" s="301">
        <f>gn_csl</f>
        <v>116300</v>
      </c>
      <c r="I16" s="301">
        <f>G16*H16</f>
        <v>25589.554128000003</v>
      </c>
      <c r="J16" s="294">
        <f>0.042*2</f>
        <v>8.4000000000000005E-2</v>
      </c>
      <c r="K16" s="295"/>
    </row>
    <row r="17" spans="1:11" x14ac:dyDescent="0.3">
      <c r="A17" s="296"/>
      <c r="B17" s="297"/>
      <c r="C17" s="298"/>
      <c r="D17" s="299"/>
      <c r="E17" s="297"/>
      <c r="F17" s="300"/>
      <c r="G17" s="299"/>
      <c r="H17" s="301"/>
      <c r="I17" s="301"/>
      <c r="J17" s="294"/>
      <c r="K17" s="295"/>
    </row>
    <row r="18" spans="1:11" x14ac:dyDescent="0.3">
      <c r="A18" s="296" t="str">
        <f>IFERROR(INDEX(TENPROFILE,MATCH(B18,MAPROFILE,0)),"")</f>
        <v>Khung cánh sổ lùa</v>
      </c>
      <c r="B18" s="297" t="s">
        <v>51</v>
      </c>
      <c r="C18" s="298" t="s">
        <v>220</v>
      </c>
      <c r="D18" s="299">
        <f>INDEX($B$4:$C$11,MATCH(C18,$B$4:$B$11,0),2)-J18</f>
        <v>0.53699999999999992</v>
      </c>
      <c r="E18" s="297">
        <v>4</v>
      </c>
      <c r="F18" s="300">
        <f>IFERROR(VLOOKUP(B18,Alu_data,2,0),"")</f>
        <v>0.67600000000000005</v>
      </c>
      <c r="G18" s="299">
        <f>(1+hp_nhom)*D18*E18*F18</f>
        <v>1.5391708799999999</v>
      </c>
      <c r="H18" s="301">
        <f>gn_csl</f>
        <v>116300</v>
      </c>
      <c r="I18" s="301">
        <f>G18*H18</f>
        <v>179005.57334399997</v>
      </c>
      <c r="J18" s="294">
        <f>0.034+0.029</f>
        <v>6.3E-2</v>
      </c>
      <c r="K18" s="295"/>
    </row>
    <row r="19" spans="1:11" x14ac:dyDescent="0.3">
      <c r="A19" s="296" t="str">
        <f>IFERROR(INDEX(TENPROFILE,MATCH(B19,MAPROFILE,0)),"")</f>
        <v>Thanh khóa cánh</v>
      </c>
      <c r="B19" s="297" t="s">
        <v>232</v>
      </c>
      <c r="C19" s="298" t="s">
        <v>220</v>
      </c>
      <c r="D19" s="299">
        <f>INDEX($B$4:$C$11,MATCH(C19,$B$4:$B$11,0),2)-J19</f>
        <v>0.53699999999999992</v>
      </c>
      <c r="E19" s="297"/>
      <c r="F19" s="300">
        <f>IFERROR(VLOOKUP(B19,Alu_data,2,0),"")</f>
        <v>0.26800000000000002</v>
      </c>
      <c r="G19" s="299">
        <f>(1+hp_nhom)*D19*E19*F19</f>
        <v>0</v>
      </c>
      <c r="H19" s="301">
        <f>gn_csl</f>
        <v>116300</v>
      </c>
      <c r="I19" s="301">
        <f>G19*H19</f>
        <v>0</v>
      </c>
      <c r="J19" s="294">
        <f>J18</f>
        <v>6.3E-2</v>
      </c>
      <c r="K19" s="295"/>
    </row>
    <row r="20" spans="1:11" x14ac:dyDescent="0.3">
      <c r="A20" s="296" t="str">
        <f>IFERROR(INDEX(TENPROFILE,MATCH(B20,MAPROFILE,0)),"")</f>
        <v>Thanh móc sổ lùa</v>
      </c>
      <c r="B20" s="297" t="s">
        <v>52</v>
      </c>
      <c r="C20" s="298" t="s">
        <v>220</v>
      </c>
      <c r="D20" s="299">
        <f>INDEX($B$4:$C$11,MATCH(C20,$B$4:$B$11,0),2)-J20</f>
        <v>0.53699999999999992</v>
      </c>
      <c r="E20" s="297">
        <f>E18/2</f>
        <v>2</v>
      </c>
      <c r="F20" s="300">
        <f>IFERROR(VLOOKUP(B20,Alu_data,2,0),"")</f>
        <v>0.246</v>
      </c>
      <c r="G20" s="299">
        <f>(1+hp_nhom)*D20*E20*F20</f>
        <v>0.28005623999999996</v>
      </c>
      <c r="H20" s="301">
        <f>gn_csl</f>
        <v>116300</v>
      </c>
      <c r="I20" s="301">
        <f>G20*H20</f>
        <v>32570.540711999995</v>
      </c>
      <c r="J20" s="294">
        <f>J18</f>
        <v>6.3E-2</v>
      </c>
      <c r="K20" s="295"/>
    </row>
    <row r="21" spans="1:11" x14ac:dyDescent="0.3">
      <c r="A21" s="296" t="str">
        <f>IFERROR(INDEX(TENPROFILE,MATCH(B21,MAPROFILE,0)),"")</f>
        <v>Khung cánh sổ lùa</v>
      </c>
      <c r="B21" s="297" t="s">
        <v>51</v>
      </c>
      <c r="C21" s="298" t="s">
        <v>218</v>
      </c>
      <c r="D21" s="299">
        <f>INDEX($B$4:$C$11,MATCH(C21,$B$4:$B$11,0),2)-J21</f>
        <v>1.1319999999999999</v>
      </c>
      <c r="E21" s="297">
        <v>2</v>
      </c>
      <c r="F21" s="300">
        <f>IFERROR(VLOOKUP(B21,Alu_data,2,0),"")</f>
        <v>0.67600000000000005</v>
      </c>
      <c r="G21" s="299">
        <f>(1+hp_nhom)*D21*E21*F21</f>
        <v>1.6222918399999999</v>
      </c>
      <c r="H21" s="301">
        <f>gn_csl</f>
        <v>116300</v>
      </c>
      <c r="I21" s="301">
        <f>G21*H21</f>
        <v>188672.54099199999</v>
      </c>
      <c r="J21" s="294">
        <f>0.034*2</f>
        <v>6.8000000000000005E-2</v>
      </c>
      <c r="K21" s="295"/>
    </row>
    <row r="22" spans="1:11" x14ac:dyDescent="0.3">
      <c r="A22" s="296"/>
      <c r="B22" s="297"/>
      <c r="C22" s="298"/>
      <c r="D22" s="299"/>
      <c r="E22" s="297"/>
      <c r="F22" s="300"/>
      <c r="G22" s="299"/>
      <c r="H22" s="301"/>
      <c r="I22" s="301"/>
      <c r="J22" s="294"/>
      <c r="K22" s="295"/>
    </row>
    <row r="23" spans="1:11" x14ac:dyDescent="0.3">
      <c r="A23" s="296" t="str">
        <f>IFERROR(INDEX(TENPROFILE,MATCH(B23,MAPROFILE,0)),"")</f>
        <v>Ke góc</v>
      </c>
      <c r="B23" s="297" t="s">
        <v>33</v>
      </c>
      <c r="C23" s="298"/>
      <c r="D23" s="299">
        <v>0.05</v>
      </c>
      <c r="E23" s="297">
        <v>4</v>
      </c>
      <c r="F23" s="300">
        <f>IFERROR(VLOOKUP(B23,Alu_data,2,0),"")</f>
        <v>1.2315710499999999</v>
      </c>
      <c r="G23" s="299">
        <f>(1+hp_nhom)*D23*E23*F23</f>
        <v>0.26109306259999998</v>
      </c>
      <c r="H23" s="301">
        <f>gnt</f>
        <v>98000</v>
      </c>
      <c r="I23" s="301">
        <f>G23*H23</f>
        <v>25587.1201348</v>
      </c>
      <c r="J23" s="294"/>
      <c r="K23" s="295"/>
    </row>
    <row r="24" spans="1:11" x14ac:dyDescent="0.3">
      <c r="A24" s="296" t="str">
        <f>IFERROR(INDEX(TENPROFILE,MATCH(B24,MAPROFILE,0)),"")</f>
        <v>Ke khung cánh (hệ XingFa)</v>
      </c>
      <c r="B24" s="297" t="s">
        <v>66</v>
      </c>
      <c r="C24" s="298"/>
      <c r="D24" s="299">
        <v>0.05</v>
      </c>
      <c r="E24" s="297">
        <f>4*E18/2</f>
        <v>8</v>
      </c>
      <c r="F24" s="300">
        <f>IFERROR(VLOOKUP(B24,Alu_data,2,0),"")</f>
        <v>2.0640000000000001</v>
      </c>
      <c r="G24" s="299">
        <f>(1+hp_nhom)*D24*E24*F24</f>
        <v>0.87513600000000014</v>
      </c>
      <c r="H24" s="301">
        <f>gnt</f>
        <v>98000</v>
      </c>
      <c r="I24" s="301">
        <f>G24*H24</f>
        <v>85763.328000000009</v>
      </c>
      <c r="J24" s="294"/>
      <c r="K24" s="295"/>
    </row>
    <row r="25" spans="1:11" x14ac:dyDescent="0.3">
      <c r="A25" s="296"/>
      <c r="B25" s="297"/>
      <c r="C25" s="298"/>
      <c r="D25" s="299"/>
      <c r="E25" s="297"/>
      <c r="F25" s="300"/>
      <c r="G25" s="299"/>
      <c r="H25" s="301"/>
      <c r="I25" s="301"/>
      <c r="J25" s="294"/>
      <c r="K25" s="295"/>
    </row>
    <row r="26" spans="1:11" x14ac:dyDescent="0.3">
      <c r="A26" s="296" t="str">
        <f>IFERROR(INDEX(TENPROFILE,MATCH(B26,MAPROFILE,0)),"")</f>
        <v>Thanh nối khung</v>
      </c>
      <c r="B26" s="297" t="s">
        <v>49</v>
      </c>
      <c r="C26" s="298" t="s">
        <v>214</v>
      </c>
      <c r="D26" s="299">
        <f>INDEX($B$4:$C$11,MATCH(C26,$B$4:$B$11,0),2)-J26</f>
        <v>1.19</v>
      </c>
      <c r="E26" s="297">
        <v>1</v>
      </c>
      <c r="F26" s="300">
        <f>IFERROR(VLOOKUP(B26,Alu_data,2,0),"")</f>
        <v>0.21099999999999999</v>
      </c>
      <c r="G26" s="299">
        <f>(1+hp_nhom)*D26*E26*F26</f>
        <v>0.26615539999999999</v>
      </c>
      <c r="H26" s="301">
        <f>gnt</f>
        <v>98000</v>
      </c>
      <c r="I26" s="301">
        <f>G26*H26</f>
        <v>26083.229199999998</v>
      </c>
      <c r="J26" s="294">
        <f>0.005*2</f>
        <v>0.01</v>
      </c>
      <c r="K26" s="295" t="s">
        <v>253</v>
      </c>
    </row>
    <row r="27" spans="1:11" x14ac:dyDescent="0.3">
      <c r="A27" s="296"/>
      <c r="B27" s="297"/>
      <c r="C27" s="298"/>
      <c r="D27" s="299"/>
      <c r="E27" s="297"/>
      <c r="F27" s="300"/>
      <c r="G27" s="299"/>
      <c r="H27" s="301"/>
      <c r="I27" s="301"/>
      <c r="J27" s="294"/>
      <c r="K27" s="295"/>
    </row>
    <row r="28" spans="1:11" x14ac:dyDescent="0.3">
      <c r="A28" s="296" t="str">
        <f>IFERROR(INDEX(TENPROFILE,MATCH(B28,MAPROFILE,0)),"")</f>
        <v>Khung bao cố định</v>
      </c>
      <c r="B28" s="297" t="s">
        <v>43</v>
      </c>
      <c r="C28" s="298" t="s">
        <v>222</v>
      </c>
      <c r="D28" s="299">
        <f>INDEX($B$4:$C$11,MATCH(C28,$B$4:$B$11,0),2)-J28</f>
        <v>0.49500000000000011</v>
      </c>
      <c r="E28" s="297">
        <v>2</v>
      </c>
      <c r="F28" s="300">
        <f>IFERROR(VLOOKUP(B28,Alu_data,2,0),"")</f>
        <v>0.66100000000000003</v>
      </c>
      <c r="G28" s="299">
        <f>(1+hp_nhom)*D28*E28*F28</f>
        <v>0.69365340000000031</v>
      </c>
      <c r="H28" s="301">
        <f>gn_csl</f>
        <v>116300</v>
      </c>
      <c r="I28" s="301">
        <f>G28*H28</f>
        <v>80671.89042000004</v>
      </c>
      <c r="J28" s="294">
        <v>5.0000000000000001E-3</v>
      </c>
      <c r="K28" s="295" t="s">
        <v>252</v>
      </c>
    </row>
    <row r="29" spans="1:11" x14ac:dyDescent="0.3">
      <c r="A29" s="296" t="str">
        <f>IFERROR(INDEX(TENPROFILE,MATCH(B29,MAPROFILE,0)),"")</f>
        <v>Khung bao cố định</v>
      </c>
      <c r="B29" s="297" t="s">
        <v>43</v>
      </c>
      <c r="C29" s="298" t="s">
        <v>221</v>
      </c>
      <c r="D29" s="299">
        <f>INDEX($B$4:$C$11,MATCH(C29,$B$4:$B$11,0),2)-J29</f>
        <v>1.19</v>
      </c>
      <c r="E29" s="297">
        <v>2</v>
      </c>
      <c r="F29" s="300">
        <f>IFERROR(VLOOKUP(B29,Alu_data,2,0),"")</f>
        <v>0.66100000000000003</v>
      </c>
      <c r="G29" s="299">
        <f>(1+hp_nhom)*D29*E29*F29</f>
        <v>1.6675708000000002</v>
      </c>
      <c r="H29" s="301">
        <f>gn_csl</f>
        <v>116300</v>
      </c>
      <c r="I29" s="301">
        <f>G29*H29</f>
        <v>193938.48404000004</v>
      </c>
      <c r="J29" s="294">
        <f>0.005*2</f>
        <v>0.01</v>
      </c>
      <c r="K29" s="295"/>
    </row>
    <row r="30" spans="1:11" x14ac:dyDescent="0.3">
      <c r="A30" s="296" t="str">
        <f>IFERROR(INDEX(TENPROFILE,MATCH(B30,MAPROFILE,0)),"")</f>
        <v>Nẹp kính</v>
      </c>
      <c r="B30" s="297" t="s">
        <v>48</v>
      </c>
      <c r="C30" s="298" t="s">
        <v>222</v>
      </c>
      <c r="D30" s="299">
        <f>INDEX($B$4:$C$11,MATCH(C30,$B$4:$B$11,0),2)-J30</f>
        <v>0.45300000000000012</v>
      </c>
      <c r="E30" s="297">
        <f>E28</f>
        <v>2</v>
      </c>
      <c r="F30" s="300">
        <f>IFERROR(VLOOKUP(B30,Alu_data,2,0),"")</f>
        <v>0.22500000000000001</v>
      </c>
      <c r="G30" s="299">
        <f>(1+hp_nhom)*D30*E30*F30</f>
        <v>0.21608100000000008</v>
      </c>
      <c r="H30" s="301">
        <f>gn_csl</f>
        <v>116300</v>
      </c>
      <c r="I30" s="301">
        <f>G30*H30</f>
        <v>25130.220300000008</v>
      </c>
      <c r="J30" s="294">
        <f>0.026+0.021</f>
        <v>4.7E-2</v>
      </c>
      <c r="K30" s="295"/>
    </row>
    <row r="31" spans="1:11" x14ac:dyDescent="0.3">
      <c r="A31" s="296" t="str">
        <f>IFERROR(INDEX(TENPROFILE,MATCH(B31,MAPROFILE,0)),"")</f>
        <v>Nẹp kính</v>
      </c>
      <c r="B31" s="297" t="s">
        <v>48</v>
      </c>
      <c r="C31" s="298" t="s">
        <v>221</v>
      </c>
      <c r="D31" s="299">
        <f>INDEX($B$4:$C$11,MATCH(C31,$B$4:$B$11,0),2)-J31</f>
        <v>1.1479999999999999</v>
      </c>
      <c r="E31" s="297">
        <f>E29</f>
        <v>2</v>
      </c>
      <c r="F31" s="300">
        <f>IFERROR(VLOOKUP(B31,Alu_data,2,0),"")</f>
        <v>0.22500000000000001</v>
      </c>
      <c r="G31" s="299">
        <f>(1+hp_nhom)*D31*E31*F31</f>
        <v>0.54759599999999997</v>
      </c>
      <c r="H31" s="301">
        <f>gn_csl</f>
        <v>116300</v>
      </c>
      <c r="I31" s="301">
        <f>G31*H31</f>
        <v>63685.414799999999</v>
      </c>
      <c r="J31" s="294">
        <f>0.026*2</f>
        <v>5.1999999999999998E-2</v>
      </c>
      <c r="K31" s="295"/>
    </row>
    <row r="32" spans="1:11" x14ac:dyDescent="0.3">
      <c r="A32" s="296"/>
      <c r="B32" s="297"/>
      <c r="C32" s="298"/>
      <c r="D32" s="299"/>
      <c r="E32" s="297"/>
      <c r="F32" s="300"/>
      <c r="G32" s="299"/>
      <c r="H32" s="301"/>
      <c r="I32" s="301"/>
      <c r="J32" s="294"/>
      <c r="K32" s="295"/>
    </row>
    <row r="33" spans="1:11" collapsed="1" x14ac:dyDescent="0.3">
      <c r="A33" s="296" t="str">
        <f>IFERROR(INDEX(TENPROFILE,MATCH(B33,MAPROFILE,0)),"")</f>
        <v>Ke góc</v>
      </c>
      <c r="B33" s="297" t="s">
        <v>33</v>
      </c>
      <c r="C33" s="298"/>
      <c r="D33" s="299">
        <v>0.05</v>
      </c>
      <c r="E33" s="297">
        <v>4</v>
      </c>
      <c r="F33" s="300">
        <f>IFERROR(VLOOKUP(B33,Alu_data,2,0),"")</f>
        <v>1.2315710499999999</v>
      </c>
      <c r="G33" s="299">
        <f>(1+hp_nhom)*D33*E33*F33</f>
        <v>0.26109306259999998</v>
      </c>
      <c r="H33" s="301">
        <f>gnt</f>
        <v>98000</v>
      </c>
      <c r="I33" s="301">
        <f>G33*H33</f>
        <v>25587.1201348</v>
      </c>
      <c r="J33" s="294"/>
      <c r="K33" s="295"/>
    </row>
    <row r="34" spans="1:11" x14ac:dyDescent="0.3">
      <c r="A34" s="296"/>
      <c r="B34" s="297"/>
      <c r="C34" s="298"/>
      <c r="D34" s="299"/>
      <c r="E34" s="297"/>
      <c r="F34" s="300"/>
      <c r="G34" s="299"/>
      <c r="H34" s="301"/>
      <c r="I34" s="301"/>
      <c r="J34" s="294"/>
      <c r="K34" s="295"/>
    </row>
    <row r="35" spans="1:11" x14ac:dyDescent="0.3">
      <c r="A35" s="296"/>
      <c r="B35" s="297"/>
      <c r="C35" s="298"/>
      <c r="D35" s="299"/>
      <c r="E35" s="297"/>
      <c r="F35" s="300"/>
      <c r="G35" s="299"/>
      <c r="H35" s="301"/>
      <c r="I35" s="301"/>
      <c r="J35" s="294"/>
      <c r="K35" s="295"/>
    </row>
    <row r="36" spans="1:11" x14ac:dyDescent="0.3">
      <c r="A36" s="296"/>
      <c r="B36" s="297"/>
      <c r="C36" s="298"/>
      <c r="D36" s="299"/>
      <c r="E36" s="297"/>
      <c r="F36" s="300"/>
      <c r="G36" s="299"/>
      <c r="H36" s="301"/>
      <c r="I36" s="301"/>
      <c r="J36" s="294"/>
      <c r="K36" s="295"/>
    </row>
    <row r="37" spans="1:11" x14ac:dyDescent="0.3">
      <c r="A37" s="296"/>
      <c r="B37" s="297"/>
      <c r="C37" s="298"/>
      <c r="D37" s="299"/>
      <c r="E37" s="297"/>
      <c r="F37" s="300"/>
      <c r="G37" s="299"/>
      <c r="H37" s="301"/>
      <c r="I37" s="301"/>
      <c r="J37" s="294"/>
      <c r="K37" s="295"/>
    </row>
    <row r="38" spans="1:11" collapsed="1" x14ac:dyDescent="0.3">
      <c r="A38" s="296"/>
      <c r="B38" s="297"/>
      <c r="C38" s="298"/>
      <c r="D38" s="299"/>
      <c r="E38" s="297"/>
      <c r="F38" s="300"/>
      <c r="G38" s="299"/>
      <c r="H38" s="301"/>
      <c r="I38" s="301"/>
      <c r="J38" s="294"/>
      <c r="K38" s="295"/>
    </row>
    <row r="39" spans="1:11" hidden="1" outlineLevel="1" x14ac:dyDescent="0.3">
      <c r="A39" s="296"/>
      <c r="B39" s="297"/>
      <c r="C39" s="298"/>
      <c r="D39" s="299"/>
      <c r="E39" s="297"/>
      <c r="F39" s="300"/>
      <c r="G39" s="299"/>
      <c r="H39" s="301"/>
      <c r="I39" s="301"/>
      <c r="J39" s="294"/>
      <c r="K39" s="295"/>
    </row>
    <row r="40" spans="1:11" hidden="1" outlineLevel="1" x14ac:dyDescent="0.3">
      <c r="A40" s="296"/>
      <c r="B40" s="297"/>
      <c r="C40" s="298"/>
      <c r="D40" s="299"/>
      <c r="E40" s="297"/>
      <c r="F40" s="300"/>
      <c r="G40" s="299"/>
      <c r="H40" s="301"/>
      <c r="I40" s="301"/>
      <c r="J40" s="294"/>
      <c r="K40" s="295"/>
    </row>
    <row r="41" spans="1:11" hidden="1" outlineLevel="1" x14ac:dyDescent="0.3">
      <c r="A41" s="296"/>
      <c r="B41" s="297"/>
      <c r="C41" s="298"/>
      <c r="D41" s="299"/>
      <c r="E41" s="297"/>
      <c r="F41" s="300"/>
      <c r="G41" s="299"/>
      <c r="H41" s="301"/>
      <c r="I41" s="301"/>
      <c r="J41" s="294"/>
      <c r="K41" s="295"/>
    </row>
    <row r="42" spans="1:11" hidden="1" outlineLevel="1" x14ac:dyDescent="0.3">
      <c r="A42" s="296"/>
      <c r="B42" s="297"/>
      <c r="C42" s="298"/>
      <c r="D42" s="299"/>
      <c r="E42" s="297"/>
      <c r="F42" s="300"/>
      <c r="G42" s="299"/>
      <c r="H42" s="301"/>
      <c r="I42" s="301"/>
      <c r="J42" s="294"/>
      <c r="K42" s="295"/>
    </row>
    <row r="43" spans="1:11" hidden="1" outlineLevel="1" collapsed="1" x14ac:dyDescent="0.3">
      <c r="A43" s="296"/>
      <c r="B43" s="297"/>
      <c r="C43" s="298"/>
      <c r="D43" s="299"/>
      <c r="E43" s="297"/>
      <c r="F43" s="300"/>
      <c r="G43" s="299"/>
      <c r="H43" s="301"/>
      <c r="I43" s="301"/>
      <c r="J43" s="294"/>
      <c r="K43" s="295"/>
    </row>
    <row r="44" spans="1:11" hidden="1" outlineLevel="1" x14ac:dyDescent="0.3">
      <c r="A44" s="302"/>
      <c r="B44" s="297"/>
      <c r="C44" s="298"/>
      <c r="D44" s="299"/>
      <c r="E44" s="297"/>
      <c r="F44" s="300"/>
      <c r="G44" s="299"/>
      <c r="H44" s="301"/>
      <c r="I44" s="301"/>
      <c r="J44" s="294"/>
      <c r="K44" s="295"/>
    </row>
    <row r="45" spans="1:11" hidden="1" outlineLevel="1" x14ac:dyDescent="0.3">
      <c r="A45" s="302"/>
      <c r="B45" s="297"/>
      <c r="C45" s="298"/>
      <c r="D45" s="299"/>
      <c r="E45" s="297"/>
      <c r="F45" s="300"/>
      <c r="G45" s="299"/>
      <c r="H45" s="301"/>
      <c r="I45" s="301"/>
      <c r="J45" s="294"/>
      <c r="K45" s="295"/>
    </row>
    <row r="46" spans="1:11" hidden="1" outlineLevel="1" x14ac:dyDescent="0.3">
      <c r="A46" s="302"/>
      <c r="B46" s="297"/>
      <c r="C46" s="298"/>
      <c r="D46" s="299"/>
      <c r="E46" s="297"/>
      <c r="F46" s="300"/>
      <c r="G46" s="299"/>
      <c r="H46" s="301"/>
      <c r="I46" s="301"/>
      <c r="J46" s="294"/>
      <c r="K46" s="295"/>
    </row>
    <row r="47" spans="1:11" hidden="1" outlineLevel="1" x14ac:dyDescent="0.3">
      <c r="A47" s="302"/>
      <c r="B47" s="297"/>
      <c r="C47" s="298"/>
      <c r="D47" s="299"/>
      <c r="E47" s="297"/>
      <c r="F47" s="300"/>
      <c r="G47" s="299"/>
      <c r="H47" s="301"/>
      <c r="I47" s="301"/>
      <c r="J47" s="294"/>
      <c r="K47" s="295"/>
    </row>
    <row r="48" spans="1:11" hidden="1" outlineLevel="1" x14ac:dyDescent="0.3">
      <c r="A48" s="302"/>
      <c r="B48" s="297"/>
      <c r="C48" s="298"/>
      <c r="D48" s="299"/>
      <c r="E48" s="297"/>
      <c r="F48" s="300"/>
      <c r="G48" s="299"/>
      <c r="H48" s="301"/>
      <c r="I48" s="301"/>
      <c r="J48" s="294"/>
      <c r="K48" s="295"/>
    </row>
    <row r="49" spans="1:11" hidden="1" outlineLevel="1" x14ac:dyDescent="0.3">
      <c r="A49" s="302"/>
      <c r="B49" s="297"/>
      <c r="C49" s="298"/>
      <c r="D49" s="299"/>
      <c r="E49" s="297"/>
      <c r="F49" s="300"/>
      <c r="G49" s="299"/>
      <c r="H49" s="301"/>
      <c r="I49" s="301"/>
      <c r="J49" s="294"/>
      <c r="K49" s="295"/>
    </row>
    <row r="50" spans="1:11" hidden="1" outlineLevel="1" x14ac:dyDescent="0.3">
      <c r="A50" s="302"/>
      <c r="B50" s="297"/>
      <c r="C50" s="298"/>
      <c r="D50" s="299"/>
      <c r="E50" s="297"/>
      <c r="F50" s="300"/>
      <c r="G50" s="299"/>
      <c r="H50" s="301"/>
      <c r="I50" s="301"/>
      <c r="J50" s="294"/>
      <c r="K50" s="295"/>
    </row>
    <row r="51" spans="1:11" hidden="1" outlineLevel="1" x14ac:dyDescent="0.3">
      <c r="A51" s="302"/>
      <c r="B51" s="297"/>
      <c r="C51" s="298"/>
      <c r="D51" s="299"/>
      <c r="E51" s="297"/>
      <c r="F51" s="300"/>
      <c r="G51" s="299"/>
      <c r="H51" s="301"/>
      <c r="I51" s="301"/>
      <c r="J51" s="294"/>
      <c r="K51" s="295"/>
    </row>
    <row r="52" spans="1:11" hidden="1" outlineLevel="1" x14ac:dyDescent="0.3">
      <c r="A52" s="302"/>
      <c r="B52" s="297"/>
      <c r="C52" s="298"/>
      <c r="D52" s="299"/>
      <c r="E52" s="297"/>
      <c r="F52" s="300"/>
      <c r="G52" s="299"/>
      <c r="H52" s="301"/>
      <c r="I52" s="301"/>
      <c r="J52" s="294"/>
      <c r="K52" s="295"/>
    </row>
    <row r="53" spans="1:11" hidden="1" outlineLevel="1" x14ac:dyDescent="0.3">
      <c r="A53" s="302"/>
      <c r="B53" s="297"/>
      <c r="C53" s="298"/>
      <c r="D53" s="299"/>
      <c r="E53" s="297"/>
      <c r="F53" s="300"/>
      <c r="G53" s="299"/>
      <c r="H53" s="301"/>
      <c r="I53" s="301"/>
      <c r="J53" s="294"/>
      <c r="K53" s="295"/>
    </row>
    <row r="54" spans="1:11" hidden="1" outlineLevel="1" x14ac:dyDescent="0.3">
      <c r="A54" s="302"/>
      <c r="B54" s="297"/>
      <c r="C54" s="298"/>
      <c r="D54" s="299"/>
      <c r="E54" s="297"/>
      <c r="F54" s="300"/>
      <c r="G54" s="299"/>
      <c r="H54" s="301"/>
      <c r="I54" s="301"/>
      <c r="J54" s="294"/>
      <c r="K54" s="295"/>
    </row>
    <row r="55" spans="1:11" hidden="1" outlineLevel="1" x14ac:dyDescent="0.3">
      <c r="A55" s="302"/>
      <c r="B55" s="297"/>
      <c r="C55" s="298"/>
      <c r="D55" s="299"/>
      <c r="E55" s="297"/>
      <c r="F55" s="300"/>
      <c r="G55" s="299"/>
      <c r="H55" s="301"/>
      <c r="I55" s="301"/>
      <c r="J55" s="294"/>
      <c r="K55" s="295"/>
    </row>
    <row r="56" spans="1:11" hidden="1" outlineLevel="1" x14ac:dyDescent="0.3">
      <c r="A56" s="302"/>
      <c r="B56" s="297"/>
      <c r="C56" s="298"/>
      <c r="D56" s="299"/>
      <c r="E56" s="297"/>
      <c r="F56" s="300"/>
      <c r="G56" s="299"/>
      <c r="H56" s="301"/>
      <c r="I56" s="301"/>
      <c r="J56" s="294"/>
      <c r="K56" s="295"/>
    </row>
    <row r="57" spans="1:11" hidden="1" outlineLevel="1" x14ac:dyDescent="0.3">
      <c r="A57" s="302"/>
      <c r="B57" s="297"/>
      <c r="C57" s="298"/>
      <c r="D57" s="299"/>
      <c r="E57" s="297"/>
      <c r="F57" s="300"/>
      <c r="G57" s="299"/>
      <c r="H57" s="301"/>
      <c r="I57" s="301"/>
      <c r="J57" s="294"/>
      <c r="K57" s="295"/>
    </row>
    <row r="58" spans="1:11" hidden="1" outlineLevel="1" x14ac:dyDescent="0.3">
      <c r="A58" s="302"/>
      <c r="B58" s="297"/>
      <c r="C58" s="298"/>
      <c r="D58" s="299"/>
      <c r="E58" s="297"/>
      <c r="F58" s="300"/>
      <c r="G58" s="299"/>
      <c r="H58" s="301"/>
      <c r="I58" s="301"/>
      <c r="J58" s="294"/>
      <c r="K58" s="295"/>
    </row>
    <row r="59" spans="1:11" hidden="1" outlineLevel="1" x14ac:dyDescent="0.3">
      <c r="A59" s="302"/>
      <c r="B59" s="297"/>
      <c r="C59" s="298"/>
      <c r="D59" s="299"/>
      <c r="E59" s="297"/>
      <c r="F59" s="300"/>
      <c r="G59" s="299"/>
      <c r="H59" s="301"/>
      <c r="I59" s="301"/>
      <c r="J59" s="294"/>
      <c r="K59" s="295"/>
    </row>
    <row r="60" spans="1:11" hidden="1" outlineLevel="1" x14ac:dyDescent="0.3">
      <c r="A60" s="302"/>
      <c r="B60" s="297"/>
      <c r="C60" s="298"/>
      <c r="D60" s="299"/>
      <c r="E60" s="297"/>
      <c r="F60" s="300"/>
      <c r="G60" s="299"/>
      <c r="H60" s="301"/>
      <c r="I60" s="301"/>
      <c r="J60" s="294"/>
      <c r="K60" s="295"/>
    </row>
    <row r="61" spans="1:11" hidden="1" outlineLevel="1" x14ac:dyDescent="0.3">
      <c r="A61" s="302"/>
      <c r="B61" s="297"/>
      <c r="C61" s="298"/>
      <c r="D61" s="299"/>
      <c r="E61" s="297"/>
      <c r="F61" s="300"/>
      <c r="G61" s="299"/>
      <c r="H61" s="301"/>
      <c r="I61" s="301"/>
      <c r="J61" s="294"/>
      <c r="K61" s="295"/>
    </row>
    <row r="62" spans="1:11" hidden="1" outlineLevel="1" x14ac:dyDescent="0.3">
      <c r="A62" s="302"/>
      <c r="B62" s="297"/>
      <c r="C62" s="298"/>
      <c r="D62" s="299"/>
      <c r="E62" s="297"/>
      <c r="F62" s="300"/>
      <c r="G62" s="299"/>
      <c r="H62" s="301"/>
      <c r="I62" s="301"/>
      <c r="J62" s="294"/>
      <c r="K62" s="295"/>
    </row>
    <row r="63" spans="1:11" hidden="1" outlineLevel="1" x14ac:dyDescent="0.3">
      <c r="A63" s="302"/>
      <c r="B63" s="297"/>
      <c r="C63" s="298"/>
      <c r="D63" s="299"/>
      <c r="E63" s="297"/>
      <c r="F63" s="300"/>
      <c r="G63" s="299"/>
      <c r="H63" s="301"/>
      <c r="I63" s="301"/>
      <c r="J63" s="294"/>
      <c r="K63" s="295"/>
    </row>
    <row r="64" spans="1:11" hidden="1" outlineLevel="1" x14ac:dyDescent="0.3">
      <c r="A64" s="302"/>
      <c r="B64" s="297"/>
      <c r="C64" s="298"/>
      <c r="D64" s="299"/>
      <c r="E64" s="297"/>
      <c r="F64" s="300"/>
      <c r="G64" s="299"/>
      <c r="H64" s="301"/>
      <c r="I64" s="301"/>
      <c r="J64" s="294"/>
      <c r="K64" s="295"/>
    </row>
    <row r="65" spans="1:12" hidden="1" outlineLevel="1" x14ac:dyDescent="0.3">
      <c r="A65" s="302"/>
      <c r="B65" s="297"/>
      <c r="C65" s="298"/>
      <c r="D65" s="299"/>
      <c r="E65" s="297"/>
      <c r="F65" s="300"/>
      <c r="G65" s="299"/>
      <c r="H65" s="301"/>
      <c r="I65" s="301"/>
      <c r="J65" s="294"/>
      <c r="K65" s="295"/>
    </row>
    <row r="66" spans="1:12" hidden="1" outlineLevel="1" x14ac:dyDescent="0.3">
      <c r="A66" s="302"/>
      <c r="B66" s="297"/>
      <c r="C66" s="298"/>
      <c r="D66" s="299"/>
      <c r="E66" s="297"/>
      <c r="F66" s="300"/>
      <c r="G66" s="299"/>
      <c r="H66" s="301"/>
      <c r="I66" s="301"/>
      <c r="J66" s="294"/>
      <c r="K66" s="295"/>
    </row>
    <row r="67" spans="1:12" hidden="1" outlineLevel="1" x14ac:dyDescent="0.3">
      <c r="A67" s="302"/>
      <c r="B67" s="297"/>
      <c r="C67" s="298"/>
      <c r="D67" s="299"/>
      <c r="E67" s="297"/>
      <c r="F67" s="300"/>
      <c r="G67" s="299"/>
      <c r="H67" s="301"/>
      <c r="I67" s="301"/>
      <c r="J67" s="294"/>
      <c r="K67" s="295"/>
    </row>
    <row r="68" spans="1:12" hidden="1" outlineLevel="1" x14ac:dyDescent="0.3">
      <c r="A68" s="302"/>
      <c r="B68" s="297"/>
      <c r="C68" s="298"/>
      <c r="D68" s="299"/>
      <c r="E68" s="297"/>
      <c r="F68" s="300"/>
      <c r="G68" s="299"/>
      <c r="H68" s="301"/>
      <c r="I68" s="301"/>
      <c r="J68" s="294"/>
      <c r="K68" s="295"/>
    </row>
    <row r="69" spans="1:12" hidden="1" outlineLevel="1" x14ac:dyDescent="0.3">
      <c r="A69" s="302"/>
      <c r="B69" s="297"/>
      <c r="C69" s="298"/>
      <c r="D69" s="299"/>
      <c r="E69" s="297"/>
      <c r="F69" s="300"/>
      <c r="G69" s="299"/>
      <c r="H69" s="301"/>
      <c r="I69" s="301"/>
      <c r="J69" s="294"/>
      <c r="K69" s="295"/>
    </row>
    <row r="70" spans="1:12" hidden="1" outlineLevel="1" x14ac:dyDescent="0.3">
      <c r="A70" s="302"/>
      <c r="B70" s="297"/>
      <c r="C70" s="298"/>
      <c r="D70" s="299"/>
      <c r="E70" s="297"/>
      <c r="F70" s="300"/>
      <c r="G70" s="299"/>
      <c r="H70" s="301"/>
      <c r="I70" s="301"/>
      <c r="J70" s="294"/>
      <c r="K70" s="295"/>
    </row>
    <row r="71" spans="1:12" hidden="1" outlineLevel="1" x14ac:dyDescent="0.3">
      <c r="A71" s="303"/>
      <c r="B71" s="304"/>
      <c r="C71" s="305"/>
      <c r="D71" s="306"/>
      <c r="E71" s="304"/>
      <c r="F71" s="307"/>
      <c r="G71" s="306"/>
      <c r="H71" s="308"/>
      <c r="I71" s="308"/>
      <c r="J71" s="294"/>
      <c r="K71" s="295"/>
    </row>
    <row r="72" spans="1:12" x14ac:dyDescent="0.3">
      <c r="A72" s="282" t="s">
        <v>233</v>
      </c>
      <c r="B72" s="309" t="s">
        <v>234</v>
      </c>
      <c r="C72" s="309" t="s">
        <v>235</v>
      </c>
      <c r="D72" s="282" t="s">
        <v>236</v>
      </c>
      <c r="E72" s="282"/>
      <c r="F72" s="310"/>
      <c r="G72" s="309"/>
      <c r="H72" s="311"/>
      <c r="I72" s="287">
        <f>SUBTOTAL(9,I73:I111)</f>
        <v>148070</v>
      </c>
    </row>
    <row r="73" spans="1:12" x14ac:dyDescent="0.3">
      <c r="A73" s="312" t="str">
        <f>_xlfn.IFNA(INDEX(diengiaivattu,MATCH(B73,mavattu,0),0),0)</f>
        <v>Bơm Foam</v>
      </c>
      <c r="B73" s="313" t="s">
        <v>98</v>
      </c>
      <c r="C73" s="291" t="str">
        <f>_xlfn.IFNA(INDEX(donvivattu,MATCH(B73,mavattu,0),0),0)</f>
        <v>Mét</v>
      </c>
      <c r="D73" s="314"/>
      <c r="E73" s="315">
        <f>(C6+C7)*2</f>
        <v>4.5999999999999996</v>
      </c>
      <c r="F73" s="316"/>
      <c r="G73" s="317">
        <f>E73</f>
        <v>4.5999999999999996</v>
      </c>
      <c r="H73" s="318">
        <f>_xlfn.IFNA(INDEX(dongiavattu,MATCH(B73,mavattu,0),0),0)</f>
        <v>20000</v>
      </c>
      <c r="I73" s="318">
        <f>G73*H73</f>
        <v>92000</v>
      </c>
      <c r="L73" s="319"/>
    </row>
    <row r="74" spans="1:12" x14ac:dyDescent="0.3">
      <c r="A74" s="302" t="str">
        <f>_xlfn.IFNA(INDEX(diengiaivattu,MATCH(B74,mavattu,0),0),0)</f>
        <v>Ốc vít</v>
      </c>
      <c r="B74" s="297" t="s">
        <v>100</v>
      </c>
      <c r="C74" s="320" t="str">
        <f>_xlfn.IFNA(INDEX(donvivattu,MATCH(B74,mavattu,0),0),0)</f>
        <v>Cái</v>
      </c>
      <c r="D74" s="321"/>
      <c r="E74" s="297">
        <f>15+E23*4+E24*4+ROUNDUP(D19/0.5,0)*E19+ROUNDUP(D26/0.5,0)*E26+E33*4</f>
        <v>82</v>
      </c>
      <c r="F74" s="323"/>
      <c r="G74" s="324">
        <f>E74*(1+hp_vtk)</f>
        <v>86.100000000000009</v>
      </c>
      <c r="H74" s="301">
        <f>_xlfn.IFNA(INDEX(dongiavattu,MATCH(B74,mavattu,0),0),0)</f>
        <v>600</v>
      </c>
      <c r="I74" s="301">
        <f>G74*H74</f>
        <v>51660.000000000007</v>
      </c>
    </row>
    <row r="75" spans="1:12" x14ac:dyDescent="0.3">
      <c r="A75" s="302" t="str">
        <f>_xlfn.IFNA(INDEX(diengiaivattu,MATCH(B75,mavattu,0),0),0)</f>
        <v>Nút bịt nhựa</v>
      </c>
      <c r="B75" s="297" t="s">
        <v>99</v>
      </c>
      <c r="C75" s="320" t="str">
        <f>_xlfn.IFNA(INDEX(donvivattu,MATCH(B75,mavattu,0),0),0)</f>
        <v>Cái</v>
      </c>
      <c r="D75" s="321"/>
      <c r="E75" s="297">
        <f>ROUNDUP(C6/0.5,0)*2</f>
        <v>6</v>
      </c>
      <c r="F75" s="323"/>
      <c r="G75" s="324">
        <f>E75*(1+hp_vtk)</f>
        <v>6.3000000000000007</v>
      </c>
      <c r="H75" s="301">
        <f>_xlfn.IFNA(INDEX(dongiavattu,MATCH(B75,mavattu,0),0),0)</f>
        <v>700</v>
      </c>
      <c r="I75" s="301">
        <f>G75*H75</f>
        <v>4410.0000000000009</v>
      </c>
    </row>
    <row r="76" spans="1:12" x14ac:dyDescent="0.3">
      <c r="A76" s="302"/>
      <c r="B76" s="297"/>
      <c r="C76" s="320"/>
      <c r="D76" s="321"/>
      <c r="E76" s="325"/>
      <c r="F76" s="323"/>
      <c r="G76" s="324"/>
      <c r="H76" s="301"/>
      <c r="I76" s="301"/>
    </row>
    <row r="77" spans="1:12" x14ac:dyDescent="0.3">
      <c r="A77" s="302"/>
      <c r="B77" s="297"/>
      <c r="C77" s="320"/>
      <c r="D77" s="321"/>
      <c r="E77" s="297"/>
      <c r="F77" s="323"/>
      <c r="G77" s="324"/>
      <c r="H77" s="301"/>
      <c r="I77" s="301"/>
    </row>
    <row r="78" spans="1:12" collapsed="1" x14ac:dyDescent="0.3">
      <c r="A78" s="302"/>
      <c r="B78" s="297"/>
      <c r="C78" s="320"/>
      <c r="D78" s="321"/>
      <c r="E78" s="297"/>
      <c r="F78" s="323"/>
      <c r="G78" s="324"/>
      <c r="H78" s="301"/>
      <c r="I78" s="301"/>
    </row>
    <row r="79" spans="1:12" hidden="1" outlineLevel="1" x14ac:dyDescent="0.3">
      <c r="A79" s="302"/>
      <c r="B79" s="297"/>
      <c r="C79" s="320"/>
      <c r="D79" s="321"/>
      <c r="E79" s="297"/>
      <c r="F79" s="323"/>
      <c r="G79" s="324"/>
      <c r="H79" s="301"/>
      <c r="I79" s="301"/>
    </row>
    <row r="80" spans="1:12" hidden="1" outlineLevel="1" x14ac:dyDescent="0.3">
      <c r="A80" s="302"/>
      <c r="B80" s="297"/>
      <c r="C80" s="320"/>
      <c r="D80" s="321"/>
      <c r="E80" s="297"/>
      <c r="F80" s="323"/>
      <c r="G80" s="324"/>
      <c r="H80" s="301"/>
      <c r="I80" s="301"/>
    </row>
    <row r="81" spans="1:9" hidden="1" outlineLevel="1" x14ac:dyDescent="0.3">
      <c r="A81" s="302"/>
      <c r="B81" s="297"/>
      <c r="C81" s="320"/>
      <c r="D81" s="321"/>
      <c r="E81" s="297"/>
      <c r="F81" s="323"/>
      <c r="G81" s="324"/>
      <c r="H81" s="301"/>
      <c r="I81" s="301"/>
    </row>
    <row r="82" spans="1:9" hidden="1" outlineLevel="1" x14ac:dyDescent="0.3">
      <c r="A82" s="302"/>
      <c r="B82" s="297"/>
      <c r="C82" s="320"/>
      <c r="D82" s="321"/>
      <c r="E82" s="297"/>
      <c r="F82" s="323"/>
      <c r="G82" s="324"/>
      <c r="H82" s="301"/>
      <c r="I82" s="301"/>
    </row>
    <row r="83" spans="1:9" hidden="1" outlineLevel="1" x14ac:dyDescent="0.3">
      <c r="A83" s="302"/>
      <c r="B83" s="297"/>
      <c r="C83" s="320"/>
      <c r="D83" s="321"/>
      <c r="E83" s="297"/>
      <c r="F83" s="323"/>
      <c r="G83" s="324"/>
      <c r="H83" s="301"/>
      <c r="I83" s="301"/>
    </row>
    <row r="84" spans="1:9" hidden="1" outlineLevel="1" collapsed="1" x14ac:dyDescent="0.3">
      <c r="A84" s="302"/>
      <c r="B84" s="297"/>
      <c r="C84" s="320"/>
      <c r="D84" s="321"/>
      <c r="E84" s="297"/>
      <c r="F84" s="323"/>
      <c r="G84" s="324"/>
      <c r="H84" s="301"/>
      <c r="I84" s="301"/>
    </row>
    <row r="85" spans="1:9" hidden="1" outlineLevel="1" x14ac:dyDescent="0.3">
      <c r="A85" s="302"/>
      <c r="B85" s="297"/>
      <c r="C85" s="320"/>
      <c r="D85" s="321"/>
      <c r="E85" s="297"/>
      <c r="F85" s="323"/>
      <c r="G85" s="324"/>
      <c r="H85" s="301"/>
      <c r="I85" s="301"/>
    </row>
    <row r="86" spans="1:9" hidden="1" outlineLevel="1" x14ac:dyDescent="0.3">
      <c r="A86" s="302"/>
      <c r="B86" s="297"/>
      <c r="C86" s="320"/>
      <c r="D86" s="321"/>
      <c r="E86" s="297"/>
      <c r="F86" s="323"/>
      <c r="G86" s="324"/>
      <c r="H86" s="301"/>
      <c r="I86" s="301"/>
    </row>
    <row r="87" spans="1:9" hidden="1" outlineLevel="1" x14ac:dyDescent="0.3">
      <c r="A87" s="302"/>
      <c r="B87" s="297"/>
      <c r="C87" s="320"/>
      <c r="D87" s="321"/>
      <c r="E87" s="297"/>
      <c r="F87" s="323"/>
      <c r="G87" s="324"/>
      <c r="H87" s="301"/>
      <c r="I87" s="301"/>
    </row>
    <row r="88" spans="1:9" hidden="1" outlineLevel="1" x14ac:dyDescent="0.3">
      <c r="A88" s="302"/>
      <c r="B88" s="297"/>
      <c r="C88" s="320"/>
      <c r="D88" s="321"/>
      <c r="E88" s="297"/>
      <c r="F88" s="323"/>
      <c r="G88" s="324"/>
      <c r="H88" s="301"/>
      <c r="I88" s="301"/>
    </row>
    <row r="89" spans="1:9" hidden="1" outlineLevel="1" x14ac:dyDescent="0.3">
      <c r="A89" s="302"/>
      <c r="B89" s="297"/>
      <c r="C89" s="320"/>
      <c r="D89" s="321"/>
      <c r="E89" s="297"/>
      <c r="F89" s="323"/>
      <c r="G89" s="324"/>
      <c r="H89" s="301"/>
      <c r="I89" s="301"/>
    </row>
    <row r="90" spans="1:9" hidden="1" outlineLevel="1" x14ac:dyDescent="0.3">
      <c r="A90" s="302"/>
      <c r="B90" s="297"/>
      <c r="C90" s="320"/>
      <c r="D90" s="321"/>
      <c r="E90" s="297"/>
      <c r="F90" s="323"/>
      <c r="G90" s="324"/>
      <c r="H90" s="301"/>
      <c r="I90" s="301"/>
    </row>
    <row r="91" spans="1:9" hidden="1" outlineLevel="1" x14ac:dyDescent="0.3">
      <c r="A91" s="302"/>
      <c r="B91" s="297"/>
      <c r="C91" s="320"/>
      <c r="D91" s="321"/>
      <c r="E91" s="297"/>
      <c r="F91" s="323"/>
      <c r="G91" s="324"/>
      <c r="H91" s="301"/>
      <c r="I91" s="301"/>
    </row>
    <row r="92" spans="1:9" hidden="1" outlineLevel="1" x14ac:dyDescent="0.3">
      <c r="A92" s="302"/>
      <c r="B92" s="297"/>
      <c r="C92" s="320"/>
      <c r="D92" s="321"/>
      <c r="E92" s="297"/>
      <c r="F92" s="323"/>
      <c r="G92" s="324"/>
      <c r="H92" s="301"/>
      <c r="I92" s="301"/>
    </row>
    <row r="93" spans="1:9" hidden="1" outlineLevel="1" x14ac:dyDescent="0.3">
      <c r="A93" s="302"/>
      <c r="B93" s="297"/>
      <c r="C93" s="320"/>
      <c r="D93" s="321"/>
      <c r="E93" s="297"/>
      <c r="F93" s="323"/>
      <c r="G93" s="324"/>
      <c r="H93" s="301"/>
      <c r="I93" s="301"/>
    </row>
    <row r="94" spans="1:9" hidden="1" outlineLevel="1" x14ac:dyDescent="0.3">
      <c r="A94" s="302"/>
      <c r="B94" s="297"/>
      <c r="C94" s="320"/>
      <c r="D94" s="321"/>
      <c r="E94" s="297"/>
      <c r="F94" s="323"/>
      <c r="G94" s="324"/>
      <c r="H94" s="301"/>
      <c r="I94" s="301"/>
    </row>
    <row r="95" spans="1:9" hidden="1" outlineLevel="1" x14ac:dyDescent="0.3">
      <c r="A95" s="302"/>
      <c r="B95" s="297"/>
      <c r="C95" s="320"/>
      <c r="D95" s="321"/>
      <c r="E95" s="297"/>
      <c r="F95" s="323"/>
      <c r="G95" s="324"/>
      <c r="H95" s="301"/>
      <c r="I95" s="301"/>
    </row>
    <row r="96" spans="1:9" hidden="1" outlineLevel="1" x14ac:dyDescent="0.3">
      <c r="A96" s="302"/>
      <c r="B96" s="297"/>
      <c r="C96" s="320"/>
      <c r="D96" s="321"/>
      <c r="E96" s="297"/>
      <c r="F96" s="323"/>
      <c r="G96" s="324"/>
      <c r="H96" s="301"/>
      <c r="I96" s="301"/>
    </row>
    <row r="97" spans="1:9" hidden="1" outlineLevel="1" x14ac:dyDescent="0.3">
      <c r="A97" s="302"/>
      <c r="B97" s="297"/>
      <c r="C97" s="320"/>
      <c r="D97" s="321"/>
      <c r="E97" s="297"/>
      <c r="F97" s="323"/>
      <c r="G97" s="324"/>
      <c r="H97" s="301"/>
      <c r="I97" s="301"/>
    </row>
    <row r="98" spans="1:9" hidden="1" outlineLevel="1" x14ac:dyDescent="0.3">
      <c r="A98" s="302"/>
      <c r="B98" s="297"/>
      <c r="C98" s="320"/>
      <c r="D98" s="321"/>
      <c r="E98" s="297"/>
      <c r="F98" s="323"/>
      <c r="G98" s="324"/>
      <c r="H98" s="301"/>
      <c r="I98" s="301"/>
    </row>
    <row r="99" spans="1:9" hidden="1" outlineLevel="1" x14ac:dyDescent="0.3">
      <c r="A99" s="302"/>
      <c r="B99" s="297"/>
      <c r="C99" s="320"/>
      <c r="D99" s="321"/>
      <c r="E99" s="297"/>
      <c r="F99" s="323"/>
      <c r="G99" s="324"/>
      <c r="H99" s="301"/>
      <c r="I99" s="301"/>
    </row>
    <row r="100" spans="1:9" hidden="1" outlineLevel="1" x14ac:dyDescent="0.3">
      <c r="A100" s="302"/>
      <c r="B100" s="297"/>
      <c r="C100" s="320"/>
      <c r="D100" s="321"/>
      <c r="E100" s="297"/>
      <c r="F100" s="323"/>
      <c r="G100" s="324"/>
      <c r="H100" s="301"/>
      <c r="I100" s="301"/>
    </row>
    <row r="101" spans="1:9" hidden="1" outlineLevel="1" x14ac:dyDescent="0.3">
      <c r="A101" s="302"/>
      <c r="B101" s="297"/>
      <c r="C101" s="320"/>
      <c r="D101" s="321"/>
      <c r="E101" s="297"/>
      <c r="F101" s="323"/>
      <c r="G101" s="324"/>
      <c r="H101" s="301"/>
      <c r="I101" s="301"/>
    </row>
    <row r="102" spans="1:9" hidden="1" outlineLevel="1" x14ac:dyDescent="0.3">
      <c r="A102" s="302"/>
      <c r="B102" s="297"/>
      <c r="C102" s="320"/>
      <c r="D102" s="321"/>
      <c r="E102" s="297"/>
      <c r="F102" s="323"/>
      <c r="G102" s="324"/>
      <c r="H102" s="301"/>
      <c r="I102" s="301"/>
    </row>
    <row r="103" spans="1:9" hidden="1" outlineLevel="1" x14ac:dyDescent="0.3">
      <c r="A103" s="302"/>
      <c r="B103" s="297"/>
      <c r="C103" s="320"/>
      <c r="D103" s="321"/>
      <c r="E103" s="297"/>
      <c r="F103" s="323"/>
      <c r="G103" s="324"/>
      <c r="H103" s="301"/>
      <c r="I103" s="301"/>
    </row>
    <row r="104" spans="1:9" hidden="1" outlineLevel="1" x14ac:dyDescent="0.3">
      <c r="A104" s="302"/>
      <c r="B104" s="297"/>
      <c r="C104" s="320"/>
      <c r="D104" s="321"/>
      <c r="E104" s="297"/>
      <c r="F104" s="323"/>
      <c r="G104" s="324"/>
      <c r="H104" s="301"/>
      <c r="I104" s="301"/>
    </row>
    <row r="105" spans="1:9" hidden="1" outlineLevel="1" x14ac:dyDescent="0.3">
      <c r="A105" s="302"/>
      <c r="B105" s="297"/>
      <c r="C105" s="320"/>
      <c r="D105" s="321"/>
      <c r="E105" s="297"/>
      <c r="F105" s="323"/>
      <c r="G105" s="324"/>
      <c r="H105" s="301"/>
      <c r="I105" s="301"/>
    </row>
    <row r="106" spans="1:9" hidden="1" outlineLevel="1" x14ac:dyDescent="0.3">
      <c r="A106" s="302"/>
      <c r="B106" s="297"/>
      <c r="C106" s="320"/>
      <c r="D106" s="321"/>
      <c r="E106" s="297"/>
      <c r="F106" s="323"/>
      <c r="G106" s="324"/>
      <c r="H106" s="301"/>
      <c r="I106" s="301"/>
    </row>
    <row r="107" spans="1:9" hidden="1" outlineLevel="1" x14ac:dyDescent="0.3">
      <c r="A107" s="302"/>
      <c r="B107" s="297"/>
      <c r="C107" s="320"/>
      <c r="D107" s="321"/>
      <c r="E107" s="297"/>
      <c r="F107" s="323"/>
      <c r="G107" s="324"/>
      <c r="H107" s="301"/>
      <c r="I107" s="301"/>
    </row>
    <row r="108" spans="1:9" hidden="1" outlineLevel="1" x14ac:dyDescent="0.3">
      <c r="A108" s="302"/>
      <c r="B108" s="297"/>
      <c r="C108" s="320"/>
      <c r="D108" s="321"/>
      <c r="E108" s="297"/>
      <c r="F108" s="323"/>
      <c r="G108" s="324"/>
      <c r="H108" s="301"/>
      <c r="I108" s="301"/>
    </row>
    <row r="109" spans="1:9" hidden="1" outlineLevel="1" x14ac:dyDescent="0.3">
      <c r="A109" s="302"/>
      <c r="B109" s="297"/>
      <c r="C109" s="320"/>
      <c r="D109" s="321"/>
      <c r="E109" s="297"/>
      <c r="F109" s="323"/>
      <c r="G109" s="324"/>
      <c r="H109" s="301"/>
      <c r="I109" s="301"/>
    </row>
    <row r="110" spans="1:9" hidden="1" outlineLevel="1" x14ac:dyDescent="0.3">
      <c r="A110" s="302"/>
      <c r="B110" s="297"/>
      <c r="C110" s="320"/>
      <c r="D110" s="321"/>
      <c r="E110" s="297"/>
      <c r="F110" s="323"/>
      <c r="G110" s="324"/>
      <c r="H110" s="301"/>
      <c r="I110" s="301"/>
    </row>
    <row r="111" spans="1:9" hidden="1" outlineLevel="1" x14ac:dyDescent="0.3">
      <c r="A111" s="303"/>
      <c r="B111" s="304"/>
      <c r="C111" s="326"/>
      <c r="D111" s="327"/>
      <c r="E111" s="304"/>
      <c r="F111" s="328"/>
      <c r="G111" s="329"/>
      <c r="H111" s="308"/>
      <c r="I111" s="308"/>
    </row>
    <row r="112" spans="1:9" collapsed="1" x14ac:dyDescent="0.3">
      <c r="A112" s="282" t="s">
        <v>237</v>
      </c>
      <c r="B112" s="309"/>
      <c r="C112" s="309" t="s">
        <v>238</v>
      </c>
      <c r="D112" s="309" t="s">
        <v>239</v>
      </c>
      <c r="E112" s="282" t="s">
        <v>240</v>
      </c>
      <c r="F112" s="282" t="s">
        <v>241</v>
      </c>
      <c r="G112" s="309" t="s">
        <v>242</v>
      </c>
      <c r="H112" s="311"/>
      <c r="I112" s="287">
        <f>SUBTOTAL(9,I113:I125)</f>
        <v>360928.46321481484</v>
      </c>
    </row>
    <row r="113" spans="1:12" x14ac:dyDescent="0.3">
      <c r="A113" s="312" t="str">
        <f>_xlfn.IFNA(INDEX( tenkinh,MATCH(B113,makinh,0),0),"")</f>
        <v>Kính trắng cường lực dày 8mm</v>
      </c>
      <c r="B113" s="313" t="str">
        <f>C2</f>
        <v>k8cl</v>
      </c>
      <c r="C113" s="315">
        <f>(C8-J113)/F113</f>
        <v>0.5</v>
      </c>
      <c r="D113" s="315">
        <f>C9-K113</f>
        <v>0.44299999999999995</v>
      </c>
      <c r="E113" s="330">
        <f>D113*C113</f>
        <v>0.22149999999999997</v>
      </c>
      <c r="F113" s="289">
        <v>2</v>
      </c>
      <c r="G113" s="331">
        <f>E113*F113*(1+hp_kinh)</f>
        <v>0.45628999999999997</v>
      </c>
      <c r="H113" s="318">
        <f>_xlfn.IFNA(INDEX(dongiakinh,MATCH(B113,makinh,0),0),0)</f>
        <v>353703.70370370371</v>
      </c>
      <c r="I113" s="318">
        <f>G113*H113</f>
        <v>161391.46296296295</v>
      </c>
      <c r="J113" s="243">
        <f>0.081*2+0.038</f>
        <v>0.2</v>
      </c>
      <c r="K113" s="243">
        <f>0.081+0.076</f>
        <v>0.157</v>
      </c>
      <c r="L113" s="319" t="str">
        <f>D8</f>
        <v>Cửa</v>
      </c>
    </row>
    <row r="114" spans="1:12" x14ac:dyDescent="0.3">
      <c r="A114" s="332" t="str">
        <f>_xlfn.IFNA(INDEX( tenkinh,MATCH(B114,makinh,0),0),"")</f>
        <v>Kính trắng cường lực dày 8mm</v>
      </c>
      <c r="B114" s="333" t="str">
        <f>C3</f>
        <v>k8cl</v>
      </c>
      <c r="C114" s="325">
        <f>(C10-J114)/F114</f>
        <v>1.1319999999999999</v>
      </c>
      <c r="D114" s="325">
        <f>C11-K114</f>
        <v>0.43700000000000011</v>
      </c>
      <c r="E114" s="334">
        <f>D114*C114</f>
        <v>0.49468400000000007</v>
      </c>
      <c r="F114" s="297">
        <v>1</v>
      </c>
      <c r="G114" s="335">
        <f>E114*F114*(1+hp_kinh)</f>
        <v>0.50952452000000004</v>
      </c>
      <c r="H114" s="336">
        <f>_xlfn.IFNA(INDEX(dongiakinh,MATCH(B114,makinh,0),0),0)</f>
        <v>353703.70370370371</v>
      </c>
      <c r="I114" s="336">
        <f>G114*H114</f>
        <v>180220.70985185186</v>
      </c>
      <c r="J114" s="243">
        <f>0.034*2</f>
        <v>6.8000000000000005E-2</v>
      </c>
      <c r="K114" s="243">
        <f>0.034+0.029</f>
        <v>6.3E-2</v>
      </c>
      <c r="L114" s="319" t="str">
        <f>D10</f>
        <v>Fix</v>
      </c>
    </row>
    <row r="115" spans="1:12" x14ac:dyDescent="0.3">
      <c r="A115" s="332"/>
      <c r="B115" s="333"/>
      <c r="C115" s="325"/>
      <c r="D115" s="325"/>
      <c r="E115" s="334"/>
      <c r="F115" s="297"/>
      <c r="G115" s="335"/>
      <c r="H115" s="336"/>
      <c r="I115" s="336"/>
      <c r="L115" s="319"/>
    </row>
    <row r="116" spans="1:12" collapsed="1" x14ac:dyDescent="0.3">
      <c r="A116" s="332"/>
      <c r="B116" s="333"/>
      <c r="C116" s="325"/>
      <c r="D116" s="325"/>
      <c r="E116" s="334"/>
      <c r="F116" s="297"/>
      <c r="G116" s="335"/>
      <c r="H116" s="336"/>
      <c r="I116" s="336"/>
      <c r="L116" s="319"/>
    </row>
    <row r="117" spans="1:12" hidden="1" outlineLevel="1" x14ac:dyDescent="0.3">
      <c r="A117" s="332">
        <f t="shared" ref="A117:A125" si="0">_xlfn.IFNA(INDEX(tenkinh,MATCH(B117,makinh,0),0),0)</f>
        <v>0</v>
      </c>
      <c r="B117" s="333"/>
      <c r="C117" s="325"/>
      <c r="D117" s="325"/>
      <c r="E117" s="334"/>
      <c r="F117" s="297"/>
      <c r="G117" s="335"/>
      <c r="H117" s="336"/>
      <c r="I117" s="336"/>
      <c r="L117" s="319"/>
    </row>
    <row r="118" spans="1:12" hidden="1" outlineLevel="1" x14ac:dyDescent="0.3">
      <c r="A118" s="332">
        <f t="shared" si="0"/>
        <v>0</v>
      </c>
      <c r="B118" s="333"/>
      <c r="C118" s="325"/>
      <c r="D118" s="325"/>
      <c r="E118" s="334"/>
      <c r="F118" s="297"/>
      <c r="G118" s="335"/>
      <c r="H118" s="336"/>
      <c r="I118" s="336"/>
      <c r="L118" s="319"/>
    </row>
    <row r="119" spans="1:12" hidden="1" outlineLevel="1" x14ac:dyDescent="0.3">
      <c r="A119" s="332">
        <f t="shared" si="0"/>
        <v>0</v>
      </c>
      <c r="B119" s="333"/>
      <c r="C119" s="325"/>
      <c r="D119" s="325"/>
      <c r="E119" s="334"/>
      <c r="F119" s="297"/>
      <c r="G119" s="335"/>
      <c r="H119" s="336"/>
      <c r="I119" s="336"/>
      <c r="L119" s="319"/>
    </row>
    <row r="120" spans="1:12" hidden="1" outlineLevel="1" x14ac:dyDescent="0.3">
      <c r="A120" s="332">
        <f t="shared" si="0"/>
        <v>0</v>
      </c>
      <c r="B120" s="333"/>
      <c r="C120" s="325"/>
      <c r="D120" s="325"/>
      <c r="E120" s="334"/>
      <c r="F120" s="297"/>
      <c r="G120" s="335"/>
      <c r="H120" s="336"/>
      <c r="I120" s="336"/>
      <c r="L120" s="319"/>
    </row>
    <row r="121" spans="1:12" collapsed="1" x14ac:dyDescent="0.3">
      <c r="A121" s="332" t="str">
        <f t="shared" si="0"/>
        <v>Băng keo bảo vệ kính</v>
      </c>
      <c r="B121" s="333" t="s">
        <v>69</v>
      </c>
      <c r="C121" s="299"/>
      <c r="D121" s="299"/>
      <c r="E121" s="334"/>
      <c r="F121" s="323"/>
      <c r="G121" s="335">
        <f>SUM(G113:G120)*2</f>
        <v>1.93162904</v>
      </c>
      <c r="H121" s="336">
        <f>_xlfn.IFNA(INDEX(dongiakinh,MATCH(B121,makinh,0),0),0)</f>
        <v>10000</v>
      </c>
      <c r="I121" s="336">
        <f>G121*H121</f>
        <v>19316.290400000002</v>
      </c>
      <c r="L121" s="319"/>
    </row>
    <row r="122" spans="1:12" x14ac:dyDescent="0.3">
      <c r="A122" s="302" t="str">
        <f t="shared" si="0"/>
        <v>Mài thô</v>
      </c>
      <c r="B122" s="333" t="s">
        <v>243</v>
      </c>
      <c r="C122" s="299"/>
      <c r="D122" s="299"/>
      <c r="E122" s="334"/>
      <c r="F122" s="297"/>
      <c r="G122" s="335">
        <f>G121/2</f>
        <v>0.96581452000000001</v>
      </c>
      <c r="H122" s="336">
        <f>_xlfn.IFNA(INDEX(dongiakinh,MATCH(B122,makinh,0),0),0)</f>
        <v>0</v>
      </c>
      <c r="I122" s="336">
        <f>G122*H122</f>
        <v>0</v>
      </c>
      <c r="L122" s="319"/>
    </row>
    <row r="123" spans="1:12" x14ac:dyDescent="0.3">
      <c r="A123" s="302" t="str">
        <f t="shared" si="0"/>
        <v>Mài bóng</v>
      </c>
      <c r="B123" s="333" t="s">
        <v>74</v>
      </c>
      <c r="C123" s="299"/>
      <c r="D123" s="299"/>
      <c r="E123" s="334"/>
      <c r="F123" s="297"/>
      <c r="G123" s="335">
        <f>F123*(1+hp_kinh)</f>
        <v>0</v>
      </c>
      <c r="H123" s="336">
        <f>_xlfn.IFNA(INDEX(dongiakinh,MATCH(B123,makinh,0),0),0)</f>
        <v>8000</v>
      </c>
      <c r="I123" s="336">
        <f>G123*H123</f>
        <v>0</v>
      </c>
      <c r="L123" s="319"/>
    </row>
    <row r="124" spans="1:12" x14ac:dyDescent="0.3">
      <c r="A124" s="302" t="str">
        <f t="shared" si="0"/>
        <v>Khoét lỗ</v>
      </c>
      <c r="B124" s="333" t="s">
        <v>73</v>
      </c>
      <c r="C124" s="299"/>
      <c r="D124" s="299"/>
      <c r="E124" s="334"/>
      <c r="F124" s="297"/>
      <c r="G124" s="335">
        <f>F124*(1+hp_kinh)</f>
        <v>0</v>
      </c>
      <c r="H124" s="336">
        <f>_xlfn.IFNA(INDEX(dongiakinh,MATCH(B124,makinh,0),0),0)</f>
        <v>20000</v>
      </c>
      <c r="I124" s="336">
        <f>G124*H124</f>
        <v>0</v>
      </c>
      <c r="L124" s="319"/>
    </row>
    <row r="125" spans="1:12" x14ac:dyDescent="0.3">
      <c r="A125" s="303" t="str">
        <f t="shared" si="0"/>
        <v>Khoan lỗ</v>
      </c>
      <c r="B125" s="337" t="s">
        <v>72</v>
      </c>
      <c r="C125" s="306"/>
      <c r="D125" s="306"/>
      <c r="E125" s="338"/>
      <c r="F125" s="304"/>
      <c r="G125" s="339">
        <f>F125*(1+hp_kinh)</f>
        <v>0</v>
      </c>
      <c r="H125" s="340">
        <f>_xlfn.IFNA(INDEX(dongiakinh,MATCH(B125,makinh,0),0),0)</f>
        <v>5000</v>
      </c>
      <c r="I125" s="340">
        <f>G125*H125</f>
        <v>0</v>
      </c>
      <c r="L125" s="319"/>
    </row>
    <row r="126" spans="1:12" x14ac:dyDescent="0.3">
      <c r="A126" s="341" t="s">
        <v>244</v>
      </c>
      <c r="B126" s="342"/>
      <c r="C126" s="341"/>
      <c r="D126" s="341"/>
      <c r="E126" s="342"/>
      <c r="F126" s="341"/>
      <c r="G126" s="342"/>
      <c r="H126" s="343"/>
      <c r="I126" s="344">
        <f>SUBTOTAL(9,I127:I135)</f>
        <v>666600</v>
      </c>
    </row>
    <row r="127" spans="1:12" x14ac:dyDescent="0.3">
      <c r="A127" s="359" t="str">
        <f>"D.1 NHÂN CÔNG GIA CÔNG ("&amp;B2&amp;")"</f>
        <v>D.1 NHÂN CÔNG GIA CÔNG (CỬA SỔ LÙA)</v>
      </c>
      <c r="B127" s="346"/>
      <c r="C127" s="347"/>
      <c r="D127" s="347"/>
      <c r="E127" s="348"/>
      <c r="F127" s="349"/>
      <c r="G127" s="331">
        <f>$F$5</f>
        <v>1.32</v>
      </c>
      <c r="H127" s="318">
        <f>ncsx_csl</f>
        <v>175000</v>
      </c>
      <c r="I127" s="318">
        <f>G127*H127</f>
        <v>231000</v>
      </c>
      <c r="L127" s="319"/>
    </row>
    <row r="128" spans="1:12" x14ac:dyDescent="0.3">
      <c r="A128" s="354" t="s">
        <v>104</v>
      </c>
      <c r="B128" s="351"/>
      <c r="C128" s="352"/>
      <c r="D128" s="352"/>
      <c r="E128" s="352"/>
      <c r="F128" s="352"/>
      <c r="G128" s="353">
        <f>$F$5</f>
        <v>1.32</v>
      </c>
      <c r="H128" s="336">
        <f>vc</f>
        <v>30000</v>
      </c>
      <c r="I128" s="336">
        <f>G128*H128</f>
        <v>39600</v>
      </c>
    </row>
    <row r="129" spans="1:9" x14ac:dyDescent="0.3">
      <c r="A129" s="354" t="str">
        <f>"D.3 NHÂN CÔNG LẮP ĐẶT ("&amp;B2&amp;")"</f>
        <v>D.3 NHÂN CÔNG LẮP ĐẶT (CỬA SỔ LÙA)</v>
      </c>
      <c r="B129" s="351"/>
      <c r="C129" s="352"/>
      <c r="D129" s="352"/>
      <c r="E129" s="352"/>
      <c r="F129" s="352"/>
      <c r="G129" s="353">
        <f>$F$5</f>
        <v>1.32</v>
      </c>
      <c r="H129" s="336">
        <f>ncld</f>
        <v>270000</v>
      </c>
      <c r="I129" s="336">
        <f>G129*H129</f>
        <v>356400</v>
      </c>
    </row>
    <row r="130" spans="1:9" x14ac:dyDescent="0.3">
      <c r="A130" s="354" t="str">
        <f>"D.4 CHI PHÍ VỆ SINH ("&amp;B2&amp;")"</f>
        <v>D.4 CHI PHÍ VỆ SINH (CỬA SỔ LÙA)</v>
      </c>
      <c r="B130" s="351"/>
      <c r="C130" s="352"/>
      <c r="D130" s="352"/>
      <c r="E130" s="352"/>
      <c r="F130" s="352"/>
      <c r="G130" s="353">
        <f>$F$5</f>
        <v>1.32</v>
      </c>
      <c r="H130" s="336">
        <f>vs</f>
        <v>30000</v>
      </c>
      <c r="I130" s="336">
        <f>G130*H130</f>
        <v>39600</v>
      </c>
    </row>
    <row r="131" spans="1:9" x14ac:dyDescent="0.3">
      <c r="A131" s="354"/>
      <c r="B131" s="351"/>
      <c r="C131" s="352"/>
      <c r="D131" s="352"/>
      <c r="E131" s="352"/>
      <c r="F131" s="352"/>
      <c r="G131" s="353"/>
      <c r="H131" s="336"/>
      <c r="I131" s="336"/>
    </row>
    <row r="132" spans="1:9" collapsed="1" x14ac:dyDescent="0.3">
      <c r="A132" s="354"/>
      <c r="B132" s="351"/>
      <c r="C132" s="352"/>
      <c r="D132" s="352"/>
      <c r="E132" s="352"/>
      <c r="F132" s="352"/>
      <c r="G132" s="353"/>
      <c r="H132" s="336"/>
      <c r="I132" s="336"/>
    </row>
    <row r="133" spans="1:9" hidden="1" outlineLevel="1" x14ac:dyDescent="0.3">
      <c r="A133" s="354"/>
      <c r="B133" s="351"/>
      <c r="C133" s="352"/>
      <c r="D133" s="352"/>
      <c r="E133" s="352"/>
      <c r="F133" s="352"/>
      <c r="G133" s="353"/>
      <c r="H133" s="336"/>
      <c r="I133" s="336"/>
    </row>
    <row r="134" spans="1:9" hidden="1" outlineLevel="1" x14ac:dyDescent="0.3">
      <c r="A134" s="354"/>
      <c r="B134" s="351"/>
      <c r="C134" s="352"/>
      <c r="D134" s="352"/>
      <c r="E134" s="352"/>
      <c r="F134" s="352"/>
      <c r="G134" s="353"/>
      <c r="H134" s="336"/>
      <c r="I134" s="336"/>
    </row>
    <row r="135" spans="1:9" hidden="1" outlineLevel="1" x14ac:dyDescent="0.3">
      <c r="A135" s="355"/>
      <c r="B135" s="356"/>
      <c r="C135" s="357"/>
      <c r="D135" s="357"/>
      <c r="E135" s="357"/>
      <c r="F135" s="357"/>
      <c r="G135" s="358"/>
      <c r="H135" s="340"/>
      <c r="I135" s="340"/>
    </row>
    <row r="136" spans="1:9" x14ac:dyDescent="0.3">
      <c r="A136" s="282" t="s">
        <v>245</v>
      </c>
      <c r="B136" s="309"/>
      <c r="C136" s="309"/>
      <c r="D136" s="282"/>
      <c r="E136" s="282"/>
      <c r="F136" s="282"/>
      <c r="G136" s="309"/>
      <c r="H136" s="311"/>
      <c r="I136" s="287">
        <f>SUBTOTAL(9,I137:I164)</f>
        <v>256676.2</v>
      </c>
    </row>
    <row r="137" spans="1:9" x14ac:dyDescent="0.3">
      <c r="A137" s="359" t="str">
        <f>_xlfn.IFNA(INDEX(diengiaivattu,MATCH(B137,mavattu,0),0),0)</f>
        <v>Cửa sổ lùa 2 cánh hệ Nova 50 - Draho</v>
      </c>
      <c r="B137" s="289" t="str">
        <f>A3</f>
        <v>CSL50-2C</v>
      </c>
      <c r="C137" s="360" t="str">
        <f>_xlfn.IFNA(INDEX(donvivattu,MATCH(B137,mavattu,0),0),0)</f>
        <v>Bộ</v>
      </c>
      <c r="D137" s="361"/>
      <c r="E137" s="289">
        <v>1</v>
      </c>
      <c r="F137" s="362"/>
      <c r="G137" s="331">
        <f>E137</f>
        <v>1</v>
      </c>
      <c r="H137" s="293">
        <f>_xlfn.IFNA(INDEX(dongiavattu,MATCH(B137,mavattu,0),0),0)</f>
        <v>256676.2</v>
      </c>
      <c r="I137" s="293">
        <f>G137*H137</f>
        <v>256676.2</v>
      </c>
    </row>
    <row r="138" spans="1:9" collapsed="1" x14ac:dyDescent="0.3">
      <c r="A138" s="302"/>
      <c r="B138" s="297"/>
      <c r="C138" s="320"/>
      <c r="D138" s="353"/>
      <c r="E138" s="297"/>
      <c r="F138" s="351"/>
      <c r="G138" s="335"/>
      <c r="H138" s="301"/>
      <c r="I138" s="301"/>
    </row>
    <row r="139" spans="1:9" hidden="1" outlineLevel="1" x14ac:dyDescent="0.3">
      <c r="A139" s="302"/>
      <c r="B139" s="297"/>
      <c r="C139" s="320"/>
      <c r="D139" s="353"/>
      <c r="E139" s="297"/>
      <c r="F139" s="351"/>
      <c r="G139" s="335"/>
      <c r="H139" s="301"/>
      <c r="I139" s="301"/>
    </row>
    <row r="140" spans="1:9" hidden="1" outlineLevel="1" collapsed="1" x14ac:dyDescent="0.3">
      <c r="A140" s="302"/>
      <c r="B140" s="297"/>
      <c r="C140" s="320"/>
      <c r="D140" s="353"/>
      <c r="E140" s="297"/>
      <c r="F140" s="351"/>
      <c r="G140" s="335"/>
      <c r="H140" s="301"/>
      <c r="I140" s="301"/>
    </row>
    <row r="141" spans="1:9" hidden="1" outlineLevel="1" x14ac:dyDescent="0.3">
      <c r="A141" s="302"/>
      <c r="B141" s="297"/>
      <c r="C141" s="320"/>
      <c r="D141" s="353"/>
      <c r="E141" s="297"/>
      <c r="F141" s="351"/>
      <c r="G141" s="335"/>
      <c r="H141" s="301"/>
      <c r="I141" s="301"/>
    </row>
    <row r="142" spans="1:9" hidden="1" outlineLevel="1" x14ac:dyDescent="0.3">
      <c r="A142" s="302"/>
      <c r="B142" s="297"/>
      <c r="C142" s="320"/>
      <c r="D142" s="353"/>
      <c r="E142" s="297"/>
      <c r="F142" s="351"/>
      <c r="G142" s="335"/>
      <c r="H142" s="301"/>
      <c r="I142" s="301"/>
    </row>
    <row r="143" spans="1:9" hidden="1" outlineLevel="1" x14ac:dyDescent="0.3">
      <c r="A143" s="302"/>
      <c r="B143" s="297"/>
      <c r="C143" s="320"/>
      <c r="D143" s="353"/>
      <c r="E143" s="297"/>
      <c r="F143" s="351"/>
      <c r="G143" s="335"/>
      <c r="H143" s="301"/>
      <c r="I143" s="301"/>
    </row>
    <row r="144" spans="1:9" hidden="1" outlineLevel="1" x14ac:dyDescent="0.3">
      <c r="A144" s="302"/>
      <c r="B144" s="297"/>
      <c r="C144" s="320"/>
      <c r="D144" s="353"/>
      <c r="E144" s="297"/>
      <c r="F144" s="351"/>
      <c r="G144" s="335"/>
      <c r="H144" s="301"/>
      <c r="I144" s="301"/>
    </row>
    <row r="145" spans="1:9" hidden="1" outlineLevel="1" x14ac:dyDescent="0.3">
      <c r="A145" s="302"/>
      <c r="B145" s="297"/>
      <c r="C145" s="320"/>
      <c r="D145" s="353"/>
      <c r="E145" s="297"/>
      <c r="F145" s="351"/>
      <c r="G145" s="335"/>
      <c r="H145" s="301"/>
      <c r="I145" s="301"/>
    </row>
    <row r="146" spans="1:9" hidden="1" outlineLevel="1" x14ac:dyDescent="0.3">
      <c r="A146" s="302"/>
      <c r="B146" s="297"/>
      <c r="C146" s="320"/>
      <c r="D146" s="353"/>
      <c r="E146" s="297"/>
      <c r="F146" s="351"/>
      <c r="G146" s="335"/>
      <c r="H146" s="301"/>
      <c r="I146" s="301"/>
    </row>
    <row r="147" spans="1:9" hidden="1" outlineLevel="1" x14ac:dyDescent="0.3">
      <c r="A147" s="302"/>
      <c r="B147" s="297"/>
      <c r="C147" s="320"/>
      <c r="D147" s="353"/>
      <c r="E147" s="297"/>
      <c r="F147" s="351"/>
      <c r="G147" s="335"/>
      <c r="H147" s="301"/>
      <c r="I147" s="301"/>
    </row>
    <row r="148" spans="1:9" hidden="1" outlineLevel="1" x14ac:dyDescent="0.3">
      <c r="A148" s="302"/>
      <c r="B148" s="297"/>
      <c r="C148" s="320"/>
      <c r="D148" s="353"/>
      <c r="E148" s="297"/>
      <c r="F148" s="351"/>
      <c r="G148" s="335"/>
      <c r="H148" s="301"/>
      <c r="I148" s="301"/>
    </row>
    <row r="149" spans="1:9" hidden="1" outlineLevel="1" x14ac:dyDescent="0.3">
      <c r="A149" s="302"/>
      <c r="B149" s="297"/>
      <c r="C149" s="320"/>
      <c r="D149" s="353"/>
      <c r="E149" s="297"/>
      <c r="F149" s="351"/>
      <c r="G149" s="335"/>
      <c r="H149" s="301"/>
      <c r="I149" s="301"/>
    </row>
    <row r="150" spans="1:9" hidden="1" outlineLevel="1" x14ac:dyDescent="0.3">
      <c r="A150" s="302"/>
      <c r="B150" s="297"/>
      <c r="C150" s="320"/>
      <c r="D150" s="353"/>
      <c r="E150" s="297"/>
      <c r="F150" s="351"/>
      <c r="G150" s="335"/>
      <c r="H150" s="301"/>
      <c r="I150" s="301"/>
    </row>
    <row r="151" spans="1:9" hidden="1" outlineLevel="1" x14ac:dyDescent="0.3">
      <c r="A151" s="302"/>
      <c r="B151" s="297"/>
      <c r="C151" s="320"/>
      <c r="D151" s="353"/>
      <c r="E151" s="297"/>
      <c r="F151" s="351"/>
      <c r="G151" s="335"/>
      <c r="H151" s="301"/>
      <c r="I151" s="301"/>
    </row>
    <row r="152" spans="1:9" hidden="1" outlineLevel="1" x14ac:dyDescent="0.3">
      <c r="A152" s="302"/>
      <c r="B152" s="297"/>
      <c r="C152" s="320"/>
      <c r="D152" s="353"/>
      <c r="E152" s="297"/>
      <c r="F152" s="351"/>
      <c r="G152" s="335"/>
      <c r="H152" s="301"/>
      <c r="I152" s="301"/>
    </row>
    <row r="153" spans="1:9" hidden="1" outlineLevel="1" x14ac:dyDescent="0.3">
      <c r="A153" s="302"/>
      <c r="B153" s="297"/>
      <c r="C153" s="320"/>
      <c r="D153" s="353"/>
      <c r="E153" s="297"/>
      <c r="F153" s="351"/>
      <c r="G153" s="335"/>
      <c r="H153" s="301"/>
      <c r="I153" s="301"/>
    </row>
    <row r="154" spans="1:9" hidden="1" outlineLevel="1" x14ac:dyDescent="0.3">
      <c r="A154" s="302"/>
      <c r="B154" s="297"/>
      <c r="C154" s="320"/>
      <c r="D154" s="353"/>
      <c r="E154" s="297"/>
      <c r="F154" s="351"/>
      <c r="G154" s="335"/>
      <c r="H154" s="301"/>
      <c r="I154" s="301"/>
    </row>
    <row r="155" spans="1:9" hidden="1" outlineLevel="1" x14ac:dyDescent="0.3">
      <c r="A155" s="302"/>
      <c r="B155" s="297"/>
      <c r="C155" s="320"/>
      <c r="D155" s="353"/>
      <c r="E155" s="297"/>
      <c r="F155" s="351"/>
      <c r="G155" s="335"/>
      <c r="H155" s="301"/>
      <c r="I155" s="301"/>
    </row>
    <row r="156" spans="1:9" hidden="1" outlineLevel="1" x14ac:dyDescent="0.3">
      <c r="A156" s="302"/>
      <c r="B156" s="297"/>
      <c r="C156" s="320"/>
      <c r="D156" s="353"/>
      <c r="E156" s="297"/>
      <c r="F156" s="351"/>
      <c r="G156" s="335"/>
      <c r="H156" s="301"/>
      <c r="I156" s="301"/>
    </row>
    <row r="157" spans="1:9" hidden="1" outlineLevel="1" x14ac:dyDescent="0.3">
      <c r="A157" s="302"/>
      <c r="B157" s="297"/>
      <c r="C157" s="320"/>
      <c r="D157" s="353"/>
      <c r="E157" s="297"/>
      <c r="F157" s="351"/>
      <c r="G157" s="335"/>
      <c r="H157" s="301"/>
      <c r="I157" s="301"/>
    </row>
    <row r="158" spans="1:9" hidden="1" outlineLevel="1" x14ac:dyDescent="0.3">
      <c r="A158" s="302"/>
      <c r="B158" s="297"/>
      <c r="C158" s="320"/>
      <c r="D158" s="353"/>
      <c r="E158" s="297"/>
      <c r="F158" s="351"/>
      <c r="G158" s="335"/>
      <c r="H158" s="301"/>
      <c r="I158" s="301"/>
    </row>
    <row r="159" spans="1:9" hidden="1" outlineLevel="1" x14ac:dyDescent="0.3">
      <c r="A159" s="302"/>
      <c r="B159" s="297"/>
      <c r="C159" s="320"/>
      <c r="D159" s="353"/>
      <c r="E159" s="297"/>
      <c r="F159" s="351"/>
      <c r="G159" s="335"/>
      <c r="H159" s="301"/>
      <c r="I159" s="301"/>
    </row>
    <row r="160" spans="1:9" hidden="1" outlineLevel="1" x14ac:dyDescent="0.3">
      <c r="A160" s="302"/>
      <c r="B160" s="297"/>
      <c r="C160" s="320"/>
      <c r="D160" s="353"/>
      <c r="E160" s="297"/>
      <c r="F160" s="351"/>
      <c r="G160" s="335"/>
      <c r="H160" s="301"/>
      <c r="I160" s="301"/>
    </row>
    <row r="161" spans="1:9" hidden="1" outlineLevel="1" x14ac:dyDescent="0.3">
      <c r="A161" s="302"/>
      <c r="B161" s="297"/>
      <c r="C161" s="320"/>
      <c r="D161" s="353"/>
      <c r="E161" s="297"/>
      <c r="F161" s="351"/>
      <c r="G161" s="335"/>
      <c r="H161" s="301"/>
      <c r="I161" s="301"/>
    </row>
    <row r="162" spans="1:9" hidden="1" outlineLevel="1" x14ac:dyDescent="0.3">
      <c r="A162" s="302"/>
      <c r="B162" s="297"/>
      <c r="C162" s="320"/>
      <c r="D162" s="353"/>
      <c r="E162" s="297"/>
      <c r="F162" s="351"/>
      <c r="G162" s="335"/>
      <c r="H162" s="301"/>
      <c r="I162" s="301"/>
    </row>
    <row r="163" spans="1:9" hidden="1" outlineLevel="1" x14ac:dyDescent="0.3">
      <c r="A163" s="302"/>
      <c r="B163" s="297"/>
      <c r="C163" s="320"/>
      <c r="D163" s="353"/>
      <c r="E163" s="297"/>
      <c r="F163" s="351"/>
      <c r="G163" s="335"/>
      <c r="H163" s="301"/>
      <c r="I163" s="301"/>
    </row>
    <row r="164" spans="1:9" hidden="1" outlineLevel="1" x14ac:dyDescent="0.3">
      <c r="A164" s="303"/>
      <c r="B164" s="304"/>
      <c r="C164" s="326"/>
      <c r="D164" s="358"/>
      <c r="E164" s="304"/>
      <c r="F164" s="356"/>
      <c r="G164" s="339"/>
      <c r="H164" s="308"/>
      <c r="I164" s="308"/>
    </row>
    <row r="165" spans="1:9" collapsed="1" x14ac:dyDescent="0.3">
      <c r="A165" s="282" t="s">
        <v>246</v>
      </c>
      <c r="B165" s="309"/>
      <c r="C165" s="309"/>
      <c r="D165" s="282"/>
      <c r="E165" s="282"/>
      <c r="F165" s="282"/>
      <c r="G165" s="309"/>
      <c r="H165" s="311"/>
      <c r="I165" s="287">
        <f>SUBTOTAL(9,I166:I185)</f>
        <v>35279.999999999993</v>
      </c>
    </row>
    <row r="166" spans="1:9" x14ac:dyDescent="0.3">
      <c r="A166" s="359" t="str">
        <f>_xlfn.IFNA(INDEX(diengiaivattu,MATCH(B166,mavattu,0),0),0)</f>
        <v>Gioăng lông</v>
      </c>
      <c r="B166" s="289" t="s">
        <v>95</v>
      </c>
      <c r="C166" s="360" t="str">
        <f>_xlfn.IFNA(INDEX(donvivattu,MATCH(B166,mavattu,0),0),0)</f>
        <v>md</v>
      </c>
      <c r="D166" s="367"/>
      <c r="E166" s="315">
        <f>C8*4+C9*(E15+E18)</f>
        <v>8.3999999999999986</v>
      </c>
      <c r="F166" s="368"/>
      <c r="G166" s="317">
        <f>E166*(1+hp_vtk)</f>
        <v>8.8199999999999985</v>
      </c>
      <c r="H166" s="293">
        <f>_xlfn.IFNA(INDEX(dongiavattu,MATCH(B166,mavattu,0),0),0)</f>
        <v>4000</v>
      </c>
      <c r="I166" s="293">
        <f>G166*H166</f>
        <v>35279.999999999993</v>
      </c>
    </row>
    <row r="167" spans="1:9" x14ac:dyDescent="0.3">
      <c r="A167" s="302"/>
      <c r="B167" s="297"/>
      <c r="C167" s="320"/>
      <c r="D167" s="321"/>
      <c r="E167" s="297"/>
      <c r="F167" s="323"/>
      <c r="G167" s="324"/>
      <c r="H167" s="301"/>
      <c r="I167" s="301"/>
    </row>
    <row r="168" spans="1:9" collapsed="1" x14ac:dyDescent="0.3">
      <c r="A168" s="302"/>
      <c r="B168" s="297"/>
      <c r="C168" s="320"/>
      <c r="D168" s="321"/>
      <c r="E168" s="297"/>
      <c r="F168" s="323"/>
      <c r="G168" s="324"/>
      <c r="H168" s="301"/>
      <c r="I168" s="301"/>
    </row>
    <row r="169" spans="1:9" hidden="1" outlineLevel="1" x14ac:dyDescent="0.3">
      <c r="A169" s="302"/>
      <c r="B169" s="297"/>
      <c r="C169" s="320"/>
      <c r="D169" s="321"/>
      <c r="E169" s="297"/>
      <c r="F169" s="323"/>
      <c r="G169" s="324"/>
      <c r="H169" s="301"/>
      <c r="I169" s="301"/>
    </row>
    <row r="170" spans="1:9" hidden="1" outlineLevel="1" collapsed="1" x14ac:dyDescent="0.3">
      <c r="A170" s="302"/>
      <c r="B170" s="297"/>
      <c r="C170" s="320"/>
      <c r="D170" s="321"/>
      <c r="E170" s="297"/>
      <c r="F170" s="323"/>
      <c r="G170" s="324"/>
      <c r="H170" s="301"/>
      <c r="I170" s="301"/>
    </row>
    <row r="171" spans="1:9" hidden="1" outlineLevel="1" x14ac:dyDescent="0.3">
      <c r="A171" s="302"/>
      <c r="B171" s="297"/>
      <c r="C171" s="320"/>
      <c r="D171" s="321"/>
      <c r="E171" s="297"/>
      <c r="F171" s="323"/>
      <c r="G171" s="324"/>
      <c r="H171" s="301"/>
      <c r="I171" s="301"/>
    </row>
    <row r="172" spans="1:9" hidden="1" outlineLevel="1" x14ac:dyDescent="0.3">
      <c r="A172" s="302"/>
      <c r="B172" s="297"/>
      <c r="C172" s="320"/>
      <c r="D172" s="321"/>
      <c r="E172" s="297"/>
      <c r="F172" s="323"/>
      <c r="G172" s="324"/>
      <c r="H172" s="301"/>
      <c r="I172" s="301"/>
    </row>
    <row r="173" spans="1:9" hidden="1" outlineLevel="1" x14ac:dyDescent="0.3">
      <c r="A173" s="302"/>
      <c r="B173" s="297"/>
      <c r="C173" s="320"/>
      <c r="D173" s="321"/>
      <c r="E173" s="297"/>
      <c r="F173" s="323"/>
      <c r="G173" s="324"/>
      <c r="H173" s="301"/>
      <c r="I173" s="301"/>
    </row>
    <row r="174" spans="1:9" hidden="1" outlineLevel="1" x14ac:dyDescent="0.3">
      <c r="A174" s="302"/>
      <c r="B174" s="297"/>
      <c r="C174" s="320"/>
      <c r="D174" s="321"/>
      <c r="E174" s="297"/>
      <c r="F174" s="323"/>
      <c r="G174" s="324"/>
      <c r="H174" s="301"/>
      <c r="I174" s="301"/>
    </row>
    <row r="175" spans="1:9" hidden="1" outlineLevel="1" x14ac:dyDescent="0.3">
      <c r="A175" s="302"/>
      <c r="B175" s="297"/>
      <c r="C175" s="320"/>
      <c r="D175" s="321"/>
      <c r="E175" s="297"/>
      <c r="F175" s="323"/>
      <c r="G175" s="324"/>
      <c r="H175" s="301"/>
      <c r="I175" s="301"/>
    </row>
    <row r="176" spans="1:9" hidden="1" outlineLevel="1" x14ac:dyDescent="0.3">
      <c r="A176" s="302"/>
      <c r="B176" s="297"/>
      <c r="C176" s="320"/>
      <c r="D176" s="321"/>
      <c r="E176" s="297"/>
      <c r="F176" s="323"/>
      <c r="G176" s="324"/>
      <c r="H176" s="301"/>
      <c r="I176" s="301"/>
    </row>
    <row r="177" spans="1:10" hidden="1" outlineLevel="1" x14ac:dyDescent="0.3">
      <c r="A177" s="302"/>
      <c r="B177" s="297"/>
      <c r="C177" s="320"/>
      <c r="D177" s="321"/>
      <c r="E177" s="297"/>
      <c r="F177" s="323"/>
      <c r="G177" s="324"/>
      <c r="H177" s="301"/>
      <c r="I177" s="301"/>
    </row>
    <row r="178" spans="1:10" hidden="1" outlineLevel="1" x14ac:dyDescent="0.3">
      <c r="A178" s="302"/>
      <c r="B178" s="297"/>
      <c r="C178" s="320"/>
      <c r="D178" s="321"/>
      <c r="E178" s="297"/>
      <c r="F178" s="323"/>
      <c r="G178" s="324"/>
      <c r="H178" s="301"/>
      <c r="I178" s="301"/>
    </row>
    <row r="179" spans="1:10" hidden="1" outlineLevel="1" x14ac:dyDescent="0.3">
      <c r="A179" s="302"/>
      <c r="B179" s="297"/>
      <c r="C179" s="320"/>
      <c r="D179" s="321"/>
      <c r="E179" s="297"/>
      <c r="F179" s="323"/>
      <c r="G179" s="324"/>
      <c r="H179" s="301"/>
      <c r="I179" s="301"/>
    </row>
    <row r="180" spans="1:10" hidden="1" outlineLevel="1" x14ac:dyDescent="0.3">
      <c r="A180" s="302"/>
      <c r="B180" s="297"/>
      <c r="C180" s="320"/>
      <c r="D180" s="321"/>
      <c r="E180" s="297"/>
      <c r="F180" s="323"/>
      <c r="G180" s="324"/>
      <c r="H180" s="301"/>
      <c r="I180" s="301"/>
    </row>
    <row r="181" spans="1:10" hidden="1" outlineLevel="1" x14ac:dyDescent="0.3">
      <c r="A181" s="302"/>
      <c r="B181" s="297"/>
      <c r="C181" s="320"/>
      <c r="D181" s="321"/>
      <c r="E181" s="297"/>
      <c r="F181" s="323"/>
      <c r="G181" s="324"/>
      <c r="H181" s="301"/>
      <c r="I181" s="301"/>
    </row>
    <row r="182" spans="1:10" hidden="1" outlineLevel="1" x14ac:dyDescent="0.3">
      <c r="A182" s="302"/>
      <c r="B182" s="297"/>
      <c r="C182" s="320"/>
      <c r="D182" s="321"/>
      <c r="E182" s="297"/>
      <c r="F182" s="323"/>
      <c r="G182" s="324"/>
      <c r="H182" s="301"/>
      <c r="I182" s="301"/>
    </row>
    <row r="183" spans="1:10" hidden="1" outlineLevel="1" x14ac:dyDescent="0.3">
      <c r="A183" s="302"/>
      <c r="B183" s="297"/>
      <c r="C183" s="320"/>
      <c r="D183" s="321"/>
      <c r="E183" s="297"/>
      <c r="F183" s="323"/>
      <c r="G183" s="324"/>
      <c r="H183" s="301"/>
      <c r="I183" s="301"/>
    </row>
    <row r="184" spans="1:10" hidden="1" outlineLevel="1" x14ac:dyDescent="0.3">
      <c r="A184" s="369"/>
      <c r="B184" s="370"/>
      <c r="C184" s="369"/>
      <c r="D184" s="369"/>
      <c r="E184" s="371"/>
      <c r="F184" s="369"/>
      <c r="G184" s="321"/>
      <c r="H184" s="372"/>
      <c r="I184" s="373"/>
    </row>
    <row r="185" spans="1:10" hidden="1" outlineLevel="1" x14ac:dyDescent="0.3">
      <c r="A185" s="374"/>
      <c r="B185" s="375"/>
      <c r="C185" s="374"/>
      <c r="D185" s="374"/>
      <c r="E185" s="376"/>
      <c r="F185" s="374"/>
      <c r="G185" s="327"/>
      <c r="H185" s="377"/>
      <c r="I185" s="378"/>
    </row>
    <row r="186" spans="1:10" collapsed="1" x14ac:dyDescent="0.3">
      <c r="A186" s="379" t="s">
        <v>247</v>
      </c>
      <c r="B186" s="380"/>
      <c r="C186" s="380"/>
      <c r="D186" s="380"/>
      <c r="E186" s="380"/>
      <c r="F186" s="380"/>
      <c r="G186" s="381">
        <f>$F$5</f>
        <v>1.32</v>
      </c>
      <c r="H186" s="382">
        <f>cpct</f>
        <v>100000</v>
      </c>
      <c r="I186" s="382">
        <f>H186*G186</f>
        <v>132000</v>
      </c>
    </row>
    <row r="187" spans="1:10" x14ac:dyDescent="0.3">
      <c r="A187" s="379" t="s">
        <v>248</v>
      </c>
      <c r="B187" s="383"/>
      <c r="C187" s="380"/>
      <c r="D187" s="380"/>
      <c r="E187" s="380"/>
      <c r="F187" s="380"/>
      <c r="G187" s="381">
        <f>$F$5</f>
        <v>1.32</v>
      </c>
      <c r="H187" s="382">
        <f>tbtc</f>
        <v>50000</v>
      </c>
      <c r="I187" s="382">
        <f>H187*G187</f>
        <v>66000</v>
      </c>
      <c r="J187" s="384"/>
    </row>
    <row r="188" spans="1:10" x14ac:dyDescent="0.3">
      <c r="A188" s="385" t="s">
        <v>249</v>
      </c>
      <c r="B188" s="386"/>
      <c r="C188" s="386"/>
      <c r="D188" s="386"/>
      <c r="E188" s="386"/>
      <c r="F188" s="386"/>
      <c r="G188" s="387"/>
      <c r="H188" s="388"/>
      <c r="I188" s="388">
        <f>SUBTOTAL(9,I13:I187)</f>
        <v>3014371.9958804147</v>
      </c>
    </row>
  </sheetData>
  <dataConsolidate link="1"/>
  <mergeCells count="8">
    <mergeCell ref="A188:G188"/>
    <mergeCell ref="H1:I1"/>
    <mergeCell ref="H2:I2"/>
    <mergeCell ref="G3:I3"/>
    <mergeCell ref="G4:I4"/>
    <mergeCell ref="G5:I5"/>
    <mergeCell ref="A6:A11"/>
    <mergeCell ref="G6:I6"/>
  </mergeCells>
  <conditionalFormatting sqref="E2:H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{1E6BE642-B67D-41FB-9F43-8DB565230757}</x14:id>
        </ext>
      </extLst>
    </cfRule>
  </conditionalFormatting>
  <dataValidations count="1">
    <dataValidation type="list" allowBlank="1" showInputMessage="1" showErrorMessage="1" sqref="C2:C3" xr:uid="{47B2209E-29CC-47F6-B385-825C1DA522B7}">
      <formula1>makinh</formula1>
    </dataValidation>
  </dataValidations>
  <pageMargins left="0.43307086614173229" right="0.27559055118110237" top="0.55118110236220474" bottom="0.74803149606299213" header="0.31496062992125984" footer="0.31496062992125984"/>
  <pageSetup paperSize="9" scale="5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6BE642-B67D-41FB-9F43-8DB565230757}">
            <x14:dataBar minLength="0" maxLength="100" negativeBarColorSameAsPositive="1" axisPosition="none">
              <x14:cfvo type="min"/>
              <x14:cfvo type="max"/>
            </x14:dataBar>
          </x14:cfRule>
          <xm:sqref>E2:H2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1BE4-062B-4A41-B120-F46042E5997D}">
  <sheetPr codeName="Sheet62">
    <tabColor rgb="FF00B050"/>
    <outlinePr summaryBelow="0" summaryRight="0"/>
    <pageSetUpPr fitToPage="1"/>
  </sheetPr>
  <dimension ref="A1:L188"/>
  <sheetViews>
    <sheetView showGridLines="0" view="pageBreakPreview" zoomScaleNormal="100" zoomScaleSheetLayoutView="100" workbookViewId="0">
      <pane ySplit="12" topLeftCell="A13" activePane="bottomLeft" state="frozen"/>
      <selection activeCell="F131" sqref="F131"/>
      <selection pane="bottomLeft" activeCell="F131" sqref="F131"/>
    </sheetView>
  </sheetViews>
  <sheetFormatPr defaultColWidth="9.33203125" defaultRowHeight="13.2" outlineLevelRow="1" outlineLevelCol="1" x14ac:dyDescent="0.3"/>
  <cols>
    <col min="1" max="1" width="33.109375" style="389" customWidth="1"/>
    <col min="2" max="2" width="16.5546875" style="390" customWidth="1"/>
    <col min="3" max="3" width="10.6640625" style="243" customWidth="1"/>
    <col min="4" max="4" width="15.6640625" style="243" customWidth="1"/>
    <col min="5" max="5" width="14.6640625" style="243" customWidth="1"/>
    <col min="6" max="6" width="12.44140625" style="243" customWidth="1"/>
    <col min="7" max="7" width="14.5546875" style="390" customWidth="1"/>
    <col min="8" max="8" width="11" style="243" customWidth="1"/>
    <col min="9" max="9" width="12.44140625" style="243" bestFit="1" customWidth="1"/>
    <col min="10" max="10" width="7.5546875" style="243" customWidth="1" outlineLevel="1"/>
    <col min="11" max="13" width="9.109375" style="243" customWidth="1"/>
    <col min="14" max="87" width="10.33203125" style="243" customWidth="1"/>
    <col min="88" max="16384" width="9.33203125" style="243"/>
  </cols>
  <sheetData>
    <row r="1" spans="1:11" ht="19.5" customHeight="1" x14ac:dyDescent="0.3">
      <c r="A1" s="238" t="s">
        <v>204</v>
      </c>
      <c r="B1" s="238" t="s">
        <v>205</v>
      </c>
      <c r="C1" s="238" t="s">
        <v>206</v>
      </c>
      <c r="D1" s="239"/>
      <c r="E1" s="240" t="str">
        <f>"Nhôm: "&amp;ROUND(I13/I188*100,0)&amp;"%"</f>
        <v>Nhôm: 45%</v>
      </c>
      <c r="F1" s="240" t="str">
        <f>"Kính: "&amp;ROUND(I112/I188*100,0)&amp;"%"</f>
        <v>Kính: 12%</v>
      </c>
      <c r="G1" s="240" t="str">
        <f>"Vật tư phụ: "&amp;100-(ROUND(I13/I188*100,0)+ROUND(I112/I188*100,0)+ROUND((I126+I186)/I188*100,0))&amp;"%"</f>
        <v>Vật tư phụ: 17%</v>
      </c>
      <c r="H1" s="241" t="str">
        <f>"Nhân công: "&amp;ROUND((I126+I186)/I188*100,0)&amp;"%"</f>
        <v>Nhân công: 26%</v>
      </c>
      <c r="I1" s="242"/>
    </row>
    <row r="2" spans="1:11" ht="14.25" customHeight="1" x14ac:dyDescent="0.3">
      <c r="A2" s="244" t="str">
        <f>pkcn50.65</f>
        <v>Draho</v>
      </c>
      <c r="B2" s="245" t="s">
        <v>146</v>
      </c>
      <c r="C2" s="246" t="s">
        <v>71</v>
      </c>
      <c r="D2" s="239"/>
      <c r="E2" s="247">
        <f>I13/I188*F4</f>
        <v>1525398.4224047461</v>
      </c>
      <c r="F2" s="247">
        <f>I112/I188*F4</f>
        <v>408179.59189537138</v>
      </c>
      <c r="G2" s="247">
        <f>F4-(E2+F2+H2)</f>
        <v>572272.87081937026</v>
      </c>
      <c r="H2" s="248">
        <f>(I126+I186)/I188*F4</f>
        <v>903149.11488051235</v>
      </c>
      <c r="I2" s="248"/>
    </row>
    <row r="3" spans="1:11" ht="14.25" customHeight="1" x14ac:dyDescent="0.3">
      <c r="A3" s="249" t="s">
        <v>207</v>
      </c>
      <c r="B3" s="250"/>
      <c r="C3" s="246" t="s">
        <v>71</v>
      </c>
      <c r="E3" s="251" t="s">
        <v>208</v>
      </c>
      <c r="F3" s="252" t="s">
        <v>149</v>
      </c>
      <c r="G3" s="253" t="s">
        <v>250</v>
      </c>
      <c r="H3" s="253"/>
      <c r="I3" s="253"/>
    </row>
    <row r="4" spans="1:11" ht="14.25" customHeight="1" x14ac:dyDescent="0.3">
      <c r="A4" s="249"/>
      <c r="B4" s="250"/>
      <c r="C4" s="254"/>
      <c r="E4" s="255" t="s">
        <v>210</v>
      </c>
      <c r="F4" s="256">
        <f>ROUNDUP(F6/F5,-3)</f>
        <v>3409000</v>
      </c>
      <c r="G4" s="257" t="s">
        <v>211</v>
      </c>
      <c r="H4" s="258"/>
      <c r="I4" s="259"/>
    </row>
    <row r="5" spans="1:11" ht="14.25" customHeight="1" x14ac:dyDescent="0.3">
      <c r="A5" s="249"/>
      <c r="B5" s="250"/>
      <c r="C5" s="254"/>
      <c r="E5" s="260" t="s">
        <v>212</v>
      </c>
      <c r="F5" s="261">
        <f>C6*C7</f>
        <v>1.32</v>
      </c>
      <c r="G5" s="262" t="str">
        <f>"- "&amp;INDEX(tenkinh,MATCH(C2,makinh,0),0)</f>
        <v>- Kính trắng cường lực dày 8mm</v>
      </c>
      <c r="H5" s="262"/>
      <c r="I5" s="262"/>
    </row>
    <row r="6" spans="1:11" ht="14.25" customHeight="1" x14ac:dyDescent="0.3">
      <c r="A6" s="263" t="s">
        <v>213</v>
      </c>
      <c r="B6" s="264" t="s">
        <v>214</v>
      </c>
      <c r="C6" s="265">
        <v>1.2</v>
      </c>
      <c r="E6" s="260" t="s">
        <v>215</v>
      </c>
      <c r="F6" s="266">
        <f>I188/(1-bctc-cpcty-dpp-dpbh-cpk)</f>
        <v>4499062.6804185295</v>
      </c>
      <c r="G6" s="262" t="str">
        <f>INDEX(ghichuvattu,MATCH($A$3,mavattu,0))</f>
        <v>- Phụ kiện bánh xe đôi, khóa âm đồng bộ Draho</v>
      </c>
      <c r="H6" s="262"/>
      <c r="I6" s="262"/>
    </row>
    <row r="7" spans="1:11" ht="14.25" customHeight="1" x14ac:dyDescent="0.3">
      <c r="A7" s="267"/>
      <c r="B7" s="264" t="s">
        <v>216</v>
      </c>
      <c r="C7" s="265">
        <v>1.1000000000000001</v>
      </c>
      <c r="E7" s="244" t="s">
        <v>217</v>
      </c>
      <c r="F7" s="268">
        <f>SUMIF(MACUA,F3,SOLUONG)</f>
        <v>100</v>
      </c>
      <c r="G7" s="269"/>
      <c r="H7" s="270"/>
      <c r="I7" s="270"/>
    </row>
    <row r="8" spans="1:11" ht="14.25" customHeight="1" x14ac:dyDescent="0.3">
      <c r="A8" s="267"/>
      <c r="B8" s="271" t="s">
        <v>218</v>
      </c>
      <c r="C8" s="272">
        <f>C6</f>
        <v>1.2</v>
      </c>
      <c r="D8" s="243" t="s">
        <v>251</v>
      </c>
      <c r="E8" s="244" t="s">
        <v>219</v>
      </c>
      <c r="F8" s="273">
        <f>G121/F5/2</f>
        <v>0.73167766666666667</v>
      </c>
      <c r="G8" s="274"/>
      <c r="H8" s="274"/>
      <c r="I8" s="274"/>
    </row>
    <row r="9" spans="1:11" ht="14.25" customHeight="1" x14ac:dyDescent="0.3">
      <c r="A9" s="267"/>
      <c r="B9" s="271" t="s">
        <v>220</v>
      </c>
      <c r="C9" s="272">
        <v>0.6</v>
      </c>
      <c r="D9" s="243" t="s">
        <v>251</v>
      </c>
      <c r="E9" s="275"/>
      <c r="F9" s="275"/>
      <c r="G9" s="276"/>
      <c r="H9" s="276"/>
      <c r="I9" s="276"/>
    </row>
    <row r="10" spans="1:11" ht="14.25" customHeight="1" x14ac:dyDescent="0.3">
      <c r="A10" s="267"/>
      <c r="B10" s="277" t="s">
        <v>221</v>
      </c>
      <c r="C10" s="278">
        <f>C6</f>
        <v>1.2</v>
      </c>
      <c r="D10" s="270" t="s">
        <v>252</v>
      </c>
      <c r="E10" s="275"/>
      <c r="F10" s="275"/>
      <c r="G10" s="276"/>
      <c r="H10" s="276"/>
      <c r="I10" s="276"/>
    </row>
    <row r="11" spans="1:11" ht="14.25" customHeight="1" x14ac:dyDescent="0.3">
      <c r="A11" s="279"/>
      <c r="B11" s="277" t="s">
        <v>222</v>
      </c>
      <c r="C11" s="278">
        <f>C7-C9</f>
        <v>0.50000000000000011</v>
      </c>
      <c r="D11" s="270" t="s">
        <v>252</v>
      </c>
      <c r="E11" s="275"/>
      <c r="F11" s="275"/>
      <c r="G11" s="276"/>
      <c r="H11" s="276"/>
      <c r="I11" s="276"/>
    </row>
    <row r="12" spans="1:11" ht="26.4" x14ac:dyDescent="0.3">
      <c r="A12" s="280" t="s">
        <v>223</v>
      </c>
      <c r="B12" s="281" t="s">
        <v>224</v>
      </c>
      <c r="C12" s="281" t="s">
        <v>225</v>
      </c>
      <c r="D12" s="281" t="s">
        <v>226</v>
      </c>
      <c r="E12" s="281" t="s">
        <v>142</v>
      </c>
      <c r="F12" s="281" t="s">
        <v>227</v>
      </c>
      <c r="G12" s="281" t="s">
        <v>228</v>
      </c>
      <c r="H12" s="281" t="s">
        <v>229</v>
      </c>
      <c r="I12" s="281" t="s">
        <v>230</v>
      </c>
    </row>
    <row r="13" spans="1:11" x14ac:dyDescent="0.3">
      <c r="A13" s="282" t="s">
        <v>231</v>
      </c>
      <c r="B13" s="283"/>
      <c r="C13" s="284"/>
      <c r="D13" s="284"/>
      <c r="E13" s="284"/>
      <c r="F13" s="285"/>
      <c r="G13" s="286">
        <f>SUBTOTAL(9,G14:G71)</f>
        <v>11.859492445200003</v>
      </c>
      <c r="H13" s="287"/>
      <c r="I13" s="287">
        <f>SUBTOTAL(9,I14:I71)</f>
        <v>1348817.3326655999</v>
      </c>
    </row>
    <row r="14" spans="1:11" x14ac:dyDescent="0.3">
      <c r="A14" s="288" t="str">
        <f>IFERROR(INDEX(TENPROFILE,MATCH(B14,MAPROFILE,0)),"")</f>
        <v>Khung bao sổ lùa</v>
      </c>
      <c r="B14" s="289" t="s">
        <v>50</v>
      </c>
      <c r="C14" s="290" t="s">
        <v>220</v>
      </c>
      <c r="D14" s="291">
        <f>INDEX($B$4:$C$11,MATCH(C14,$B$4:$B$11,0),2)-J14</f>
        <v>0.59499999999999997</v>
      </c>
      <c r="E14" s="289">
        <v>2</v>
      </c>
      <c r="F14" s="292">
        <f>IFERROR(VLOOKUP(B14,Alu_data,2,0),"")</f>
        <v>0.90100000000000002</v>
      </c>
      <c r="G14" s="291">
        <f>(1+hp_nhom)*D14*E14*F14</f>
        <v>1.1365214000000001</v>
      </c>
      <c r="H14" s="293">
        <f>gn_csl</f>
        <v>116300</v>
      </c>
      <c r="I14" s="293">
        <f>G14*H14</f>
        <v>132177.43882000001</v>
      </c>
      <c r="J14" s="294">
        <f>0.005</f>
        <v>5.0000000000000001E-3</v>
      </c>
      <c r="K14" s="295"/>
    </row>
    <row r="15" spans="1:11" x14ac:dyDescent="0.3">
      <c r="A15" s="296" t="str">
        <f>IFERROR(INDEX(TENPROFILE,MATCH(B15,MAPROFILE,0)),"")</f>
        <v>Khung bao sổ lùa</v>
      </c>
      <c r="B15" s="297" t="s">
        <v>50</v>
      </c>
      <c r="C15" s="298" t="s">
        <v>218</v>
      </c>
      <c r="D15" s="299">
        <f>INDEX($B$4:$C$11,MATCH(C15,$B$4:$B$11,0),2)-J15</f>
        <v>1.19</v>
      </c>
      <c r="E15" s="297">
        <v>2</v>
      </c>
      <c r="F15" s="300">
        <f>IFERROR(VLOOKUP(B15,Alu_data,2,0),"")</f>
        <v>0.90100000000000002</v>
      </c>
      <c r="G15" s="299">
        <f>(1+hp_nhom)*D15*E15*F15</f>
        <v>2.2730428000000003</v>
      </c>
      <c r="H15" s="301">
        <f>gn_csl</f>
        <v>116300</v>
      </c>
      <c r="I15" s="301">
        <f>G15*H15</f>
        <v>264354.87764000002</v>
      </c>
      <c r="J15" s="294">
        <f>0.005*2</f>
        <v>0.01</v>
      </c>
      <c r="K15" s="295"/>
    </row>
    <row r="16" spans="1:11" x14ac:dyDescent="0.3">
      <c r="A16" s="296" t="str">
        <f>IFERROR(INDEX(TENPROFILE,MATCH(B16,MAPROFILE,0)),"")</f>
        <v>Thanh ray</v>
      </c>
      <c r="B16" s="297" t="s">
        <v>53</v>
      </c>
      <c r="C16" s="298" t="s">
        <v>218</v>
      </c>
      <c r="D16" s="299">
        <f>INDEX($B$4:$C$11,MATCH(C16,$B$4:$B$11,0),2)-J16</f>
        <v>1.1159999999999999</v>
      </c>
      <c r="E16" s="297">
        <v>2</v>
      </c>
      <c r="F16" s="300">
        <f>IFERROR(VLOOKUP(B16,Alu_data,2,0),"")</f>
        <v>9.2999999999999999E-2</v>
      </c>
      <c r="G16" s="299">
        <f>(1+hp_nhom)*D16*E16*F16</f>
        <v>0.22003056000000001</v>
      </c>
      <c r="H16" s="301">
        <f>gn_csl</f>
        <v>116300</v>
      </c>
      <c r="I16" s="301">
        <f>G16*H16</f>
        <v>25589.554128000003</v>
      </c>
      <c r="J16" s="294">
        <f>0.042*2</f>
        <v>8.4000000000000005E-2</v>
      </c>
      <c r="K16" s="295"/>
    </row>
    <row r="17" spans="1:11" x14ac:dyDescent="0.3">
      <c r="A17" s="296"/>
      <c r="B17" s="297"/>
      <c r="C17" s="298"/>
      <c r="D17" s="299"/>
      <c r="E17" s="297"/>
      <c r="F17" s="300"/>
      <c r="G17" s="299"/>
      <c r="H17" s="301"/>
      <c r="I17" s="301"/>
      <c r="J17" s="294"/>
      <c r="K17" s="295"/>
    </row>
    <row r="18" spans="1:11" x14ac:dyDescent="0.3">
      <c r="A18" s="296" t="str">
        <f>IFERROR(INDEX(TENPROFILE,MATCH(B18,MAPROFILE,0)),"")</f>
        <v>Khung cánh sổ lùa</v>
      </c>
      <c r="B18" s="297" t="s">
        <v>51</v>
      </c>
      <c r="C18" s="298" t="s">
        <v>220</v>
      </c>
      <c r="D18" s="299">
        <f>INDEX($B$4:$C$11,MATCH(C18,$B$4:$B$11,0),2)-J18</f>
        <v>0.53699999999999992</v>
      </c>
      <c r="E18" s="297">
        <v>4</v>
      </c>
      <c r="F18" s="300">
        <f>IFERROR(VLOOKUP(B18,Alu_data,2,0),"")</f>
        <v>0.67600000000000005</v>
      </c>
      <c r="G18" s="299">
        <f>(1+hp_nhom)*D18*E18*F18</f>
        <v>1.5391708799999999</v>
      </c>
      <c r="H18" s="301">
        <f>gn_csl</f>
        <v>116300</v>
      </c>
      <c r="I18" s="301">
        <f>G18*H18</f>
        <v>179005.57334399997</v>
      </c>
      <c r="J18" s="294">
        <f>0.034+0.029</f>
        <v>6.3E-2</v>
      </c>
      <c r="K18" s="295"/>
    </row>
    <row r="19" spans="1:11" x14ac:dyDescent="0.3">
      <c r="A19" s="296" t="str">
        <f>IFERROR(INDEX(TENPROFILE,MATCH(B19,MAPROFILE,0)),"")</f>
        <v>Thanh khóa cánh</v>
      </c>
      <c r="B19" s="297" t="s">
        <v>232</v>
      </c>
      <c r="C19" s="298" t="s">
        <v>220</v>
      </c>
      <c r="D19" s="299">
        <f>INDEX($B$4:$C$11,MATCH(C19,$B$4:$B$11,0),2)-J19</f>
        <v>0.53699999999999992</v>
      </c>
      <c r="E19" s="297"/>
      <c r="F19" s="300">
        <f>IFERROR(VLOOKUP(B19,Alu_data,2,0),"")</f>
        <v>0.26800000000000002</v>
      </c>
      <c r="G19" s="299">
        <f>(1+hp_nhom)*D19*E19*F19</f>
        <v>0</v>
      </c>
      <c r="H19" s="301">
        <f>gn_csl</f>
        <v>116300</v>
      </c>
      <c r="I19" s="301">
        <f>G19*H19</f>
        <v>0</v>
      </c>
      <c r="J19" s="294">
        <f>J18</f>
        <v>6.3E-2</v>
      </c>
      <c r="K19" s="295"/>
    </row>
    <row r="20" spans="1:11" x14ac:dyDescent="0.3">
      <c r="A20" s="296" t="str">
        <f>IFERROR(INDEX(TENPROFILE,MATCH(B20,MAPROFILE,0)),"")</f>
        <v>Thanh móc sổ lùa</v>
      </c>
      <c r="B20" s="297" t="s">
        <v>52</v>
      </c>
      <c r="C20" s="298" t="s">
        <v>220</v>
      </c>
      <c r="D20" s="299">
        <f>INDEX($B$4:$C$11,MATCH(C20,$B$4:$B$11,0),2)-J20</f>
        <v>0.53699999999999992</v>
      </c>
      <c r="E20" s="297">
        <f>E18/2</f>
        <v>2</v>
      </c>
      <c r="F20" s="300">
        <f>IFERROR(VLOOKUP(B20,Alu_data,2,0),"")</f>
        <v>0.246</v>
      </c>
      <c r="G20" s="299">
        <f>(1+hp_nhom)*D20*E20*F20</f>
        <v>0.28005623999999996</v>
      </c>
      <c r="H20" s="301">
        <f>gn_csl</f>
        <v>116300</v>
      </c>
      <c r="I20" s="301">
        <f>G20*H20</f>
        <v>32570.540711999995</v>
      </c>
      <c r="J20" s="294">
        <f>J18</f>
        <v>6.3E-2</v>
      </c>
      <c r="K20" s="295"/>
    </row>
    <row r="21" spans="1:11" x14ac:dyDescent="0.3">
      <c r="A21" s="296" t="str">
        <f>IFERROR(INDEX(TENPROFILE,MATCH(B21,MAPROFILE,0)),"")</f>
        <v>Khung cánh sổ lùa</v>
      </c>
      <c r="B21" s="297" t="s">
        <v>51</v>
      </c>
      <c r="C21" s="298" t="s">
        <v>218</v>
      </c>
      <c r="D21" s="299">
        <f>INDEX($B$4:$C$11,MATCH(C21,$B$4:$B$11,0),2)-J21</f>
        <v>1.1319999999999999</v>
      </c>
      <c r="E21" s="297">
        <v>2</v>
      </c>
      <c r="F21" s="300">
        <f>IFERROR(VLOOKUP(B21,Alu_data,2,0),"")</f>
        <v>0.67600000000000005</v>
      </c>
      <c r="G21" s="299">
        <f>(1+hp_nhom)*D21*E21*F21</f>
        <v>1.6222918399999999</v>
      </c>
      <c r="H21" s="301">
        <f>gn_csl</f>
        <v>116300</v>
      </c>
      <c r="I21" s="301">
        <f>G21*H21</f>
        <v>188672.54099199999</v>
      </c>
      <c r="J21" s="294">
        <f>0.034*2</f>
        <v>6.8000000000000005E-2</v>
      </c>
      <c r="K21" s="295"/>
    </row>
    <row r="22" spans="1:11" x14ac:dyDescent="0.3">
      <c r="A22" s="296"/>
      <c r="B22" s="297"/>
      <c r="C22" s="298"/>
      <c r="D22" s="299"/>
      <c r="E22" s="297"/>
      <c r="F22" s="300"/>
      <c r="G22" s="299"/>
      <c r="H22" s="301"/>
      <c r="I22" s="301"/>
      <c r="J22" s="294"/>
      <c r="K22" s="295"/>
    </row>
    <row r="23" spans="1:11" x14ac:dyDescent="0.3">
      <c r="A23" s="296" t="str">
        <f>IFERROR(INDEX(TENPROFILE,MATCH(B23,MAPROFILE,0)),"")</f>
        <v>Ke góc</v>
      </c>
      <c r="B23" s="297" t="s">
        <v>33</v>
      </c>
      <c r="C23" s="298"/>
      <c r="D23" s="299">
        <v>0.05</v>
      </c>
      <c r="E23" s="297">
        <v>4</v>
      </c>
      <c r="F23" s="300">
        <f>IFERROR(VLOOKUP(B23,Alu_data,2,0),"")</f>
        <v>1.2315710499999999</v>
      </c>
      <c r="G23" s="299">
        <f>(1+hp_nhom)*D23*E23*F23</f>
        <v>0.26109306259999998</v>
      </c>
      <c r="H23" s="301">
        <f>gnt</f>
        <v>98000</v>
      </c>
      <c r="I23" s="301">
        <f>G23*H23</f>
        <v>25587.1201348</v>
      </c>
      <c r="J23" s="294"/>
      <c r="K23" s="295"/>
    </row>
    <row r="24" spans="1:11" x14ac:dyDescent="0.3">
      <c r="A24" s="296" t="str">
        <f>IFERROR(INDEX(TENPROFILE,MATCH(B24,MAPROFILE,0)),"")</f>
        <v>Ke khung cánh (hệ XingFa)</v>
      </c>
      <c r="B24" s="297" t="s">
        <v>66</v>
      </c>
      <c r="C24" s="298"/>
      <c r="D24" s="299">
        <v>0.05</v>
      </c>
      <c r="E24" s="297">
        <f>4*E18/2</f>
        <v>8</v>
      </c>
      <c r="F24" s="300">
        <f>IFERROR(VLOOKUP(B24,Alu_data,2,0),"")</f>
        <v>2.0640000000000001</v>
      </c>
      <c r="G24" s="299">
        <f>(1+hp_nhom)*D24*E24*F24</f>
        <v>0.87513600000000014</v>
      </c>
      <c r="H24" s="301">
        <f>gnt</f>
        <v>98000</v>
      </c>
      <c r="I24" s="301">
        <f>G24*H24</f>
        <v>85763.328000000009</v>
      </c>
      <c r="J24" s="294"/>
      <c r="K24" s="295"/>
    </row>
    <row r="25" spans="1:11" x14ac:dyDescent="0.3">
      <c r="A25" s="296"/>
      <c r="B25" s="297"/>
      <c r="C25" s="298"/>
      <c r="D25" s="299"/>
      <c r="E25" s="297"/>
      <c r="F25" s="300"/>
      <c r="G25" s="299"/>
      <c r="H25" s="301"/>
      <c r="I25" s="301"/>
      <c r="J25" s="294"/>
      <c r="K25" s="295"/>
    </row>
    <row r="26" spans="1:11" x14ac:dyDescent="0.3">
      <c r="A26" s="296" t="str">
        <f>IFERROR(INDEX(TENPROFILE,MATCH(B26,MAPROFILE,0)),"")</f>
        <v>Thanh nối khung</v>
      </c>
      <c r="B26" s="297" t="s">
        <v>49</v>
      </c>
      <c r="C26" s="298" t="s">
        <v>214</v>
      </c>
      <c r="D26" s="299">
        <f>INDEX($B$4:$C$11,MATCH(C26,$B$4:$B$11,0),2)-J26</f>
        <v>1.19</v>
      </c>
      <c r="E26" s="297">
        <v>1</v>
      </c>
      <c r="F26" s="300">
        <f>IFERROR(VLOOKUP(B26,Alu_data,2,0),"")</f>
        <v>0.21099999999999999</v>
      </c>
      <c r="G26" s="299">
        <f>(1+hp_nhom)*D26*E26*F26</f>
        <v>0.26615539999999999</v>
      </c>
      <c r="H26" s="301">
        <f>gnt</f>
        <v>98000</v>
      </c>
      <c r="I26" s="301">
        <f>G26*H26</f>
        <v>26083.229199999998</v>
      </c>
      <c r="J26" s="294">
        <f>0.005*2</f>
        <v>0.01</v>
      </c>
      <c r="K26" s="295" t="s">
        <v>253</v>
      </c>
    </row>
    <row r="27" spans="1:11" x14ac:dyDescent="0.3">
      <c r="A27" s="296"/>
      <c r="B27" s="297"/>
      <c r="C27" s="298"/>
      <c r="D27" s="299"/>
      <c r="E27" s="297"/>
      <c r="F27" s="300"/>
      <c r="G27" s="299"/>
      <c r="H27" s="301"/>
      <c r="I27" s="301"/>
      <c r="J27" s="294"/>
      <c r="K27" s="295"/>
    </row>
    <row r="28" spans="1:11" x14ac:dyDescent="0.3">
      <c r="A28" s="296" t="str">
        <f>IFERROR(INDEX(TENPROFILE,MATCH(B28,MAPROFILE,0)),"")</f>
        <v>Khung bao cố định</v>
      </c>
      <c r="B28" s="297" t="s">
        <v>43</v>
      </c>
      <c r="C28" s="298" t="s">
        <v>222</v>
      </c>
      <c r="D28" s="299">
        <f>INDEX($B$4:$C$11,MATCH(C28,$B$4:$B$11,0),2)-J28</f>
        <v>0.49500000000000011</v>
      </c>
      <c r="E28" s="297">
        <v>2</v>
      </c>
      <c r="F28" s="300">
        <f>IFERROR(VLOOKUP(B28,Alu_data,2,0),"")</f>
        <v>0.66100000000000003</v>
      </c>
      <c r="G28" s="299">
        <f>(1+hp_nhom)*D28*E28*F28</f>
        <v>0.69365340000000031</v>
      </c>
      <c r="H28" s="301">
        <f>gn_csl</f>
        <v>116300</v>
      </c>
      <c r="I28" s="301">
        <f>G28*H28</f>
        <v>80671.89042000004</v>
      </c>
      <c r="J28" s="294">
        <v>5.0000000000000001E-3</v>
      </c>
      <c r="K28" s="295" t="s">
        <v>252</v>
      </c>
    </row>
    <row r="29" spans="1:11" x14ac:dyDescent="0.3">
      <c r="A29" s="296" t="str">
        <f>IFERROR(INDEX(TENPROFILE,MATCH(B29,MAPROFILE,0)),"")</f>
        <v>Khung bao cố định</v>
      </c>
      <c r="B29" s="297" t="s">
        <v>43</v>
      </c>
      <c r="C29" s="298" t="s">
        <v>221</v>
      </c>
      <c r="D29" s="299">
        <f>INDEX($B$4:$C$11,MATCH(C29,$B$4:$B$11,0),2)-J29</f>
        <v>1.19</v>
      </c>
      <c r="E29" s="297">
        <v>2</v>
      </c>
      <c r="F29" s="300">
        <f>IFERROR(VLOOKUP(B29,Alu_data,2,0),"")</f>
        <v>0.66100000000000003</v>
      </c>
      <c r="G29" s="299">
        <f>(1+hp_nhom)*D29*E29*F29</f>
        <v>1.6675708000000002</v>
      </c>
      <c r="H29" s="301">
        <f>gn_csl</f>
        <v>116300</v>
      </c>
      <c r="I29" s="301">
        <f>G29*H29</f>
        <v>193938.48404000004</v>
      </c>
      <c r="J29" s="294">
        <f>0.005*2</f>
        <v>0.01</v>
      </c>
      <c r="K29" s="295"/>
    </row>
    <row r="30" spans="1:11" x14ac:dyDescent="0.3">
      <c r="A30" s="296" t="str">
        <f>IFERROR(INDEX(TENPROFILE,MATCH(B30,MAPROFILE,0)),"")</f>
        <v>Nẹp kính</v>
      </c>
      <c r="B30" s="297" t="s">
        <v>48</v>
      </c>
      <c r="C30" s="298" t="s">
        <v>222</v>
      </c>
      <c r="D30" s="299">
        <f>INDEX($B$4:$C$11,MATCH(C30,$B$4:$B$11,0),2)-J30</f>
        <v>0.45300000000000012</v>
      </c>
      <c r="E30" s="297">
        <f>E28</f>
        <v>2</v>
      </c>
      <c r="F30" s="300">
        <f>IFERROR(VLOOKUP(B30,Alu_data,2,0),"")</f>
        <v>0.22500000000000001</v>
      </c>
      <c r="G30" s="299">
        <f>(1+hp_nhom)*D30*E30*F30</f>
        <v>0.21608100000000008</v>
      </c>
      <c r="H30" s="301">
        <f>gn_csl</f>
        <v>116300</v>
      </c>
      <c r="I30" s="301">
        <f>G30*H30</f>
        <v>25130.220300000008</v>
      </c>
      <c r="J30" s="294">
        <f>0.026+0.021</f>
        <v>4.7E-2</v>
      </c>
      <c r="K30" s="295"/>
    </row>
    <row r="31" spans="1:11" x14ac:dyDescent="0.3">
      <c r="A31" s="296" t="str">
        <f>IFERROR(INDEX(TENPROFILE,MATCH(B31,MAPROFILE,0)),"")</f>
        <v>Nẹp kính</v>
      </c>
      <c r="B31" s="297" t="s">
        <v>48</v>
      </c>
      <c r="C31" s="298" t="s">
        <v>221</v>
      </c>
      <c r="D31" s="299">
        <f>INDEX($B$4:$C$11,MATCH(C31,$B$4:$B$11,0),2)-J31</f>
        <v>1.1479999999999999</v>
      </c>
      <c r="E31" s="297">
        <f>E29</f>
        <v>2</v>
      </c>
      <c r="F31" s="300">
        <f>IFERROR(VLOOKUP(B31,Alu_data,2,0),"")</f>
        <v>0.22500000000000001</v>
      </c>
      <c r="G31" s="299">
        <f>(1+hp_nhom)*D31*E31*F31</f>
        <v>0.54759599999999997</v>
      </c>
      <c r="H31" s="301">
        <f>gn_csl</f>
        <v>116300</v>
      </c>
      <c r="I31" s="301">
        <f>G31*H31</f>
        <v>63685.414799999999</v>
      </c>
      <c r="J31" s="294">
        <f>0.026*2</f>
        <v>5.1999999999999998E-2</v>
      </c>
      <c r="K31" s="295"/>
    </row>
    <row r="32" spans="1:11" x14ac:dyDescent="0.3">
      <c r="A32" s="296"/>
      <c r="B32" s="297"/>
      <c r="C32" s="298"/>
      <c r="D32" s="299"/>
      <c r="E32" s="297"/>
      <c r="F32" s="300"/>
      <c r="G32" s="299"/>
      <c r="H32" s="301"/>
      <c r="I32" s="301"/>
      <c r="J32" s="294"/>
      <c r="K32" s="295"/>
    </row>
    <row r="33" spans="1:11" collapsed="1" x14ac:dyDescent="0.3">
      <c r="A33" s="296" t="str">
        <f>IFERROR(INDEX(TENPROFILE,MATCH(B33,MAPROFILE,0)),"")</f>
        <v>Ke góc</v>
      </c>
      <c r="B33" s="297" t="s">
        <v>33</v>
      </c>
      <c r="C33" s="298"/>
      <c r="D33" s="299">
        <v>0.05</v>
      </c>
      <c r="E33" s="297">
        <v>4</v>
      </c>
      <c r="F33" s="300">
        <f>IFERROR(VLOOKUP(B33,Alu_data,2,0),"")</f>
        <v>1.2315710499999999</v>
      </c>
      <c r="G33" s="299">
        <f>(1+hp_nhom)*D33*E33*F33</f>
        <v>0.26109306259999998</v>
      </c>
      <c r="H33" s="301">
        <f>gnt</f>
        <v>98000</v>
      </c>
      <c r="I33" s="301">
        <f>G33*H33</f>
        <v>25587.1201348</v>
      </c>
      <c r="J33" s="294"/>
      <c r="K33" s="295"/>
    </row>
    <row r="34" spans="1:11" x14ac:dyDescent="0.3">
      <c r="A34" s="296"/>
      <c r="B34" s="297"/>
      <c r="C34" s="298"/>
      <c r="D34" s="299"/>
      <c r="E34" s="297"/>
      <c r="F34" s="300"/>
      <c r="G34" s="299"/>
      <c r="H34" s="301"/>
      <c r="I34" s="301"/>
      <c r="J34" s="294"/>
      <c r="K34" s="295"/>
    </row>
    <row r="35" spans="1:11" x14ac:dyDescent="0.3">
      <c r="A35" s="296"/>
      <c r="B35" s="297"/>
      <c r="C35" s="298"/>
      <c r="D35" s="299"/>
      <c r="E35" s="297"/>
      <c r="F35" s="300"/>
      <c r="G35" s="299"/>
      <c r="H35" s="301"/>
      <c r="I35" s="301"/>
      <c r="J35" s="294"/>
      <c r="K35" s="295"/>
    </row>
    <row r="36" spans="1:11" x14ac:dyDescent="0.3">
      <c r="A36" s="296"/>
      <c r="B36" s="297"/>
      <c r="C36" s="298"/>
      <c r="D36" s="299"/>
      <c r="E36" s="297"/>
      <c r="F36" s="300"/>
      <c r="G36" s="299"/>
      <c r="H36" s="301"/>
      <c r="I36" s="301"/>
      <c r="J36" s="294"/>
      <c r="K36" s="295"/>
    </row>
    <row r="37" spans="1:11" x14ac:dyDescent="0.3">
      <c r="A37" s="296"/>
      <c r="B37" s="297"/>
      <c r="C37" s="298"/>
      <c r="D37" s="299"/>
      <c r="E37" s="297"/>
      <c r="F37" s="300"/>
      <c r="G37" s="299"/>
      <c r="H37" s="301"/>
      <c r="I37" s="301"/>
      <c r="J37" s="294"/>
      <c r="K37" s="295"/>
    </row>
    <row r="38" spans="1:11" collapsed="1" x14ac:dyDescent="0.3">
      <c r="A38" s="296"/>
      <c r="B38" s="297"/>
      <c r="C38" s="298"/>
      <c r="D38" s="299"/>
      <c r="E38" s="297"/>
      <c r="F38" s="300"/>
      <c r="G38" s="299"/>
      <c r="H38" s="301"/>
      <c r="I38" s="301"/>
      <c r="J38" s="294"/>
      <c r="K38" s="295"/>
    </row>
    <row r="39" spans="1:11" hidden="1" outlineLevel="1" x14ac:dyDescent="0.3">
      <c r="A39" s="296"/>
      <c r="B39" s="297"/>
      <c r="C39" s="298"/>
      <c r="D39" s="299"/>
      <c r="E39" s="297"/>
      <c r="F39" s="300"/>
      <c r="G39" s="299"/>
      <c r="H39" s="301"/>
      <c r="I39" s="301"/>
      <c r="J39" s="294"/>
      <c r="K39" s="295"/>
    </row>
    <row r="40" spans="1:11" hidden="1" outlineLevel="1" x14ac:dyDescent="0.3">
      <c r="A40" s="296"/>
      <c r="B40" s="297"/>
      <c r="C40" s="298"/>
      <c r="D40" s="299"/>
      <c r="E40" s="297"/>
      <c r="F40" s="300"/>
      <c r="G40" s="299"/>
      <c r="H40" s="301"/>
      <c r="I40" s="301"/>
      <c r="J40" s="294"/>
      <c r="K40" s="295"/>
    </row>
    <row r="41" spans="1:11" hidden="1" outlineLevel="1" x14ac:dyDescent="0.3">
      <c r="A41" s="296"/>
      <c r="B41" s="297"/>
      <c r="C41" s="298"/>
      <c r="D41" s="299"/>
      <c r="E41" s="297"/>
      <c r="F41" s="300"/>
      <c r="G41" s="299"/>
      <c r="H41" s="301"/>
      <c r="I41" s="301"/>
      <c r="J41" s="294"/>
      <c r="K41" s="295"/>
    </row>
    <row r="42" spans="1:11" hidden="1" outlineLevel="1" x14ac:dyDescent="0.3">
      <c r="A42" s="296"/>
      <c r="B42" s="297"/>
      <c r="C42" s="298"/>
      <c r="D42" s="299"/>
      <c r="E42" s="297"/>
      <c r="F42" s="300"/>
      <c r="G42" s="299"/>
      <c r="H42" s="301"/>
      <c r="I42" s="301"/>
      <c r="J42" s="294"/>
      <c r="K42" s="295"/>
    </row>
    <row r="43" spans="1:11" hidden="1" outlineLevel="1" collapsed="1" x14ac:dyDescent="0.3">
      <c r="A43" s="296"/>
      <c r="B43" s="297"/>
      <c r="C43" s="298"/>
      <c r="D43" s="299"/>
      <c r="E43" s="297"/>
      <c r="F43" s="300"/>
      <c r="G43" s="299"/>
      <c r="H43" s="301"/>
      <c r="I43" s="301"/>
      <c r="J43" s="294"/>
      <c r="K43" s="295"/>
    </row>
    <row r="44" spans="1:11" hidden="1" outlineLevel="1" x14ac:dyDescent="0.3">
      <c r="A44" s="302"/>
      <c r="B44" s="297"/>
      <c r="C44" s="298"/>
      <c r="D44" s="299"/>
      <c r="E44" s="297"/>
      <c r="F44" s="300"/>
      <c r="G44" s="299"/>
      <c r="H44" s="301"/>
      <c r="I44" s="301"/>
      <c r="J44" s="294"/>
      <c r="K44" s="295"/>
    </row>
    <row r="45" spans="1:11" hidden="1" outlineLevel="1" x14ac:dyDescent="0.3">
      <c r="A45" s="302"/>
      <c r="B45" s="297"/>
      <c r="C45" s="298"/>
      <c r="D45" s="299"/>
      <c r="E45" s="297"/>
      <c r="F45" s="300"/>
      <c r="G45" s="299"/>
      <c r="H45" s="301"/>
      <c r="I45" s="301"/>
      <c r="J45" s="294"/>
      <c r="K45" s="295"/>
    </row>
    <row r="46" spans="1:11" hidden="1" outlineLevel="1" x14ac:dyDescent="0.3">
      <c r="A46" s="302"/>
      <c r="B46" s="297"/>
      <c r="C46" s="298"/>
      <c r="D46" s="299"/>
      <c r="E46" s="297"/>
      <c r="F46" s="300"/>
      <c r="G46" s="299"/>
      <c r="H46" s="301"/>
      <c r="I46" s="301"/>
      <c r="J46" s="294"/>
      <c r="K46" s="295"/>
    </row>
    <row r="47" spans="1:11" hidden="1" outlineLevel="1" x14ac:dyDescent="0.3">
      <c r="A47" s="302"/>
      <c r="B47" s="297"/>
      <c r="C47" s="298"/>
      <c r="D47" s="299"/>
      <c r="E47" s="297"/>
      <c r="F47" s="300"/>
      <c r="G47" s="299"/>
      <c r="H47" s="301"/>
      <c r="I47" s="301"/>
      <c r="J47" s="294"/>
      <c r="K47" s="295"/>
    </row>
    <row r="48" spans="1:11" hidden="1" outlineLevel="1" x14ac:dyDescent="0.3">
      <c r="A48" s="302"/>
      <c r="B48" s="297"/>
      <c r="C48" s="298"/>
      <c r="D48" s="299"/>
      <c r="E48" s="297"/>
      <c r="F48" s="300"/>
      <c r="G48" s="299"/>
      <c r="H48" s="301"/>
      <c r="I48" s="301"/>
      <c r="J48" s="294"/>
      <c r="K48" s="295"/>
    </row>
    <row r="49" spans="1:11" hidden="1" outlineLevel="1" x14ac:dyDescent="0.3">
      <c r="A49" s="302"/>
      <c r="B49" s="297"/>
      <c r="C49" s="298"/>
      <c r="D49" s="299"/>
      <c r="E49" s="297"/>
      <c r="F49" s="300"/>
      <c r="G49" s="299"/>
      <c r="H49" s="301"/>
      <c r="I49" s="301"/>
      <c r="J49" s="294"/>
      <c r="K49" s="295"/>
    </row>
    <row r="50" spans="1:11" hidden="1" outlineLevel="1" x14ac:dyDescent="0.3">
      <c r="A50" s="302"/>
      <c r="B50" s="297"/>
      <c r="C50" s="298"/>
      <c r="D50" s="299"/>
      <c r="E50" s="297"/>
      <c r="F50" s="300"/>
      <c r="G50" s="299"/>
      <c r="H50" s="301"/>
      <c r="I50" s="301"/>
      <c r="J50" s="294"/>
      <c r="K50" s="295"/>
    </row>
    <row r="51" spans="1:11" hidden="1" outlineLevel="1" x14ac:dyDescent="0.3">
      <c r="A51" s="302"/>
      <c r="B51" s="297"/>
      <c r="C51" s="298"/>
      <c r="D51" s="299"/>
      <c r="E51" s="297"/>
      <c r="F51" s="300"/>
      <c r="G51" s="299"/>
      <c r="H51" s="301"/>
      <c r="I51" s="301"/>
      <c r="J51" s="294"/>
      <c r="K51" s="295"/>
    </row>
    <row r="52" spans="1:11" hidden="1" outlineLevel="1" x14ac:dyDescent="0.3">
      <c r="A52" s="302"/>
      <c r="B52" s="297"/>
      <c r="C52" s="298"/>
      <c r="D52" s="299"/>
      <c r="E52" s="297"/>
      <c r="F52" s="300"/>
      <c r="G52" s="299"/>
      <c r="H52" s="301"/>
      <c r="I52" s="301"/>
      <c r="J52" s="294"/>
      <c r="K52" s="295"/>
    </row>
    <row r="53" spans="1:11" hidden="1" outlineLevel="1" x14ac:dyDescent="0.3">
      <c r="A53" s="302"/>
      <c r="B53" s="297"/>
      <c r="C53" s="298"/>
      <c r="D53" s="299"/>
      <c r="E53" s="297"/>
      <c r="F53" s="300"/>
      <c r="G53" s="299"/>
      <c r="H53" s="301"/>
      <c r="I53" s="301"/>
      <c r="J53" s="294"/>
      <c r="K53" s="295"/>
    </row>
    <row r="54" spans="1:11" hidden="1" outlineLevel="1" x14ac:dyDescent="0.3">
      <c r="A54" s="302"/>
      <c r="B54" s="297"/>
      <c r="C54" s="298"/>
      <c r="D54" s="299"/>
      <c r="E54" s="297"/>
      <c r="F54" s="300"/>
      <c r="G54" s="299"/>
      <c r="H54" s="301"/>
      <c r="I54" s="301"/>
      <c r="J54" s="294"/>
      <c r="K54" s="295"/>
    </row>
    <row r="55" spans="1:11" hidden="1" outlineLevel="1" x14ac:dyDescent="0.3">
      <c r="A55" s="302"/>
      <c r="B55" s="297"/>
      <c r="C55" s="298"/>
      <c r="D55" s="299"/>
      <c r="E55" s="297"/>
      <c r="F55" s="300"/>
      <c r="G55" s="299"/>
      <c r="H55" s="301"/>
      <c r="I55" s="301"/>
      <c r="J55" s="294"/>
      <c r="K55" s="295"/>
    </row>
    <row r="56" spans="1:11" hidden="1" outlineLevel="1" x14ac:dyDescent="0.3">
      <c r="A56" s="302"/>
      <c r="B56" s="297"/>
      <c r="C56" s="298"/>
      <c r="D56" s="299"/>
      <c r="E56" s="297"/>
      <c r="F56" s="300"/>
      <c r="G56" s="299"/>
      <c r="H56" s="301"/>
      <c r="I56" s="301"/>
      <c r="J56" s="294"/>
      <c r="K56" s="295"/>
    </row>
    <row r="57" spans="1:11" hidden="1" outlineLevel="1" x14ac:dyDescent="0.3">
      <c r="A57" s="302"/>
      <c r="B57" s="297"/>
      <c r="C57" s="298"/>
      <c r="D57" s="299"/>
      <c r="E57" s="297"/>
      <c r="F57" s="300"/>
      <c r="G57" s="299"/>
      <c r="H57" s="301"/>
      <c r="I57" s="301"/>
      <c r="J57" s="294"/>
      <c r="K57" s="295"/>
    </row>
    <row r="58" spans="1:11" hidden="1" outlineLevel="1" x14ac:dyDescent="0.3">
      <c r="A58" s="302"/>
      <c r="B58" s="297"/>
      <c r="C58" s="298"/>
      <c r="D58" s="299"/>
      <c r="E58" s="297"/>
      <c r="F58" s="300"/>
      <c r="G58" s="299"/>
      <c r="H58" s="301"/>
      <c r="I58" s="301"/>
      <c r="J58" s="294"/>
      <c r="K58" s="295"/>
    </row>
    <row r="59" spans="1:11" hidden="1" outlineLevel="1" x14ac:dyDescent="0.3">
      <c r="A59" s="302"/>
      <c r="B59" s="297"/>
      <c r="C59" s="298"/>
      <c r="D59" s="299"/>
      <c r="E59" s="297"/>
      <c r="F59" s="300"/>
      <c r="G59" s="299"/>
      <c r="H59" s="301"/>
      <c r="I59" s="301"/>
      <c r="J59" s="294"/>
      <c r="K59" s="295"/>
    </row>
    <row r="60" spans="1:11" hidden="1" outlineLevel="1" x14ac:dyDescent="0.3">
      <c r="A60" s="302"/>
      <c r="B60" s="297"/>
      <c r="C60" s="298"/>
      <c r="D60" s="299"/>
      <c r="E60" s="297"/>
      <c r="F60" s="300"/>
      <c r="G60" s="299"/>
      <c r="H60" s="301"/>
      <c r="I60" s="301"/>
      <c r="J60" s="294"/>
      <c r="K60" s="295"/>
    </row>
    <row r="61" spans="1:11" hidden="1" outlineLevel="1" x14ac:dyDescent="0.3">
      <c r="A61" s="302"/>
      <c r="B61" s="297"/>
      <c r="C61" s="298"/>
      <c r="D61" s="299"/>
      <c r="E61" s="297"/>
      <c r="F61" s="300"/>
      <c r="G61" s="299"/>
      <c r="H61" s="301"/>
      <c r="I61" s="301"/>
      <c r="J61" s="294"/>
      <c r="K61" s="295"/>
    </row>
    <row r="62" spans="1:11" hidden="1" outlineLevel="1" x14ac:dyDescent="0.3">
      <c r="A62" s="302"/>
      <c r="B62" s="297"/>
      <c r="C62" s="298"/>
      <c r="D62" s="299"/>
      <c r="E62" s="297"/>
      <c r="F62" s="300"/>
      <c r="G62" s="299"/>
      <c r="H62" s="301"/>
      <c r="I62" s="301"/>
      <c r="J62" s="294"/>
      <c r="K62" s="295"/>
    </row>
    <row r="63" spans="1:11" hidden="1" outlineLevel="1" x14ac:dyDescent="0.3">
      <c r="A63" s="302"/>
      <c r="B63" s="297"/>
      <c r="C63" s="298"/>
      <c r="D63" s="299"/>
      <c r="E63" s="297"/>
      <c r="F63" s="300"/>
      <c r="G63" s="299"/>
      <c r="H63" s="301"/>
      <c r="I63" s="301"/>
      <c r="J63" s="294"/>
      <c r="K63" s="295"/>
    </row>
    <row r="64" spans="1:11" hidden="1" outlineLevel="1" x14ac:dyDescent="0.3">
      <c r="A64" s="302"/>
      <c r="B64" s="297"/>
      <c r="C64" s="298"/>
      <c r="D64" s="299"/>
      <c r="E64" s="297"/>
      <c r="F64" s="300"/>
      <c r="G64" s="299"/>
      <c r="H64" s="301"/>
      <c r="I64" s="301"/>
      <c r="J64" s="294"/>
      <c r="K64" s="295"/>
    </row>
    <row r="65" spans="1:12" hidden="1" outlineLevel="1" x14ac:dyDescent="0.3">
      <c r="A65" s="302"/>
      <c r="B65" s="297"/>
      <c r="C65" s="298"/>
      <c r="D65" s="299"/>
      <c r="E65" s="297"/>
      <c r="F65" s="300"/>
      <c r="G65" s="299"/>
      <c r="H65" s="301"/>
      <c r="I65" s="301"/>
      <c r="J65" s="294"/>
      <c r="K65" s="295"/>
    </row>
    <row r="66" spans="1:12" hidden="1" outlineLevel="1" x14ac:dyDescent="0.3">
      <c r="A66" s="302"/>
      <c r="B66" s="297"/>
      <c r="C66" s="298"/>
      <c r="D66" s="299"/>
      <c r="E66" s="297"/>
      <c r="F66" s="300"/>
      <c r="G66" s="299"/>
      <c r="H66" s="301"/>
      <c r="I66" s="301"/>
      <c r="J66" s="294"/>
      <c r="K66" s="295"/>
    </row>
    <row r="67" spans="1:12" hidden="1" outlineLevel="1" x14ac:dyDescent="0.3">
      <c r="A67" s="302"/>
      <c r="B67" s="297"/>
      <c r="C67" s="298"/>
      <c r="D67" s="299"/>
      <c r="E67" s="297"/>
      <c r="F67" s="300"/>
      <c r="G67" s="299"/>
      <c r="H67" s="301"/>
      <c r="I67" s="301"/>
      <c r="J67" s="294"/>
      <c r="K67" s="295"/>
    </row>
    <row r="68" spans="1:12" hidden="1" outlineLevel="1" x14ac:dyDescent="0.3">
      <c r="A68" s="302"/>
      <c r="B68" s="297"/>
      <c r="C68" s="298"/>
      <c r="D68" s="299"/>
      <c r="E68" s="297"/>
      <c r="F68" s="300"/>
      <c r="G68" s="299"/>
      <c r="H68" s="301"/>
      <c r="I68" s="301"/>
      <c r="J68" s="294"/>
      <c r="K68" s="295"/>
    </row>
    <row r="69" spans="1:12" hidden="1" outlineLevel="1" x14ac:dyDescent="0.3">
      <c r="A69" s="302"/>
      <c r="B69" s="297"/>
      <c r="C69" s="298"/>
      <c r="D69" s="299"/>
      <c r="E69" s="297"/>
      <c r="F69" s="300"/>
      <c r="G69" s="299"/>
      <c r="H69" s="301"/>
      <c r="I69" s="301"/>
      <c r="J69" s="294"/>
      <c r="K69" s="295"/>
    </row>
    <row r="70" spans="1:12" hidden="1" outlineLevel="1" x14ac:dyDescent="0.3">
      <c r="A70" s="302"/>
      <c r="B70" s="297"/>
      <c r="C70" s="298"/>
      <c r="D70" s="299"/>
      <c r="E70" s="297"/>
      <c r="F70" s="300"/>
      <c r="G70" s="299"/>
      <c r="H70" s="301"/>
      <c r="I70" s="301"/>
      <c r="J70" s="294"/>
      <c r="K70" s="295"/>
    </row>
    <row r="71" spans="1:12" hidden="1" outlineLevel="1" x14ac:dyDescent="0.3">
      <c r="A71" s="303"/>
      <c r="B71" s="304"/>
      <c r="C71" s="305"/>
      <c r="D71" s="306"/>
      <c r="E71" s="304"/>
      <c r="F71" s="307"/>
      <c r="G71" s="306"/>
      <c r="H71" s="308"/>
      <c r="I71" s="308"/>
      <c r="J71" s="294"/>
      <c r="K71" s="295"/>
    </row>
    <row r="72" spans="1:12" x14ac:dyDescent="0.3">
      <c r="A72" s="282" t="s">
        <v>233</v>
      </c>
      <c r="B72" s="309" t="s">
        <v>234</v>
      </c>
      <c r="C72" s="309" t="s">
        <v>235</v>
      </c>
      <c r="D72" s="282" t="s">
        <v>236</v>
      </c>
      <c r="E72" s="282"/>
      <c r="F72" s="310"/>
      <c r="G72" s="309"/>
      <c r="H72" s="311"/>
      <c r="I72" s="287">
        <f>SUBTOTAL(9,I73:I111)</f>
        <v>148070</v>
      </c>
    </row>
    <row r="73" spans="1:12" x14ac:dyDescent="0.3">
      <c r="A73" s="312" t="str">
        <f>_xlfn.IFNA(INDEX(diengiaivattu,MATCH(B73,mavattu,0),0),0)</f>
        <v>Bơm Foam</v>
      </c>
      <c r="B73" s="313" t="s">
        <v>98</v>
      </c>
      <c r="C73" s="291" t="str">
        <f>_xlfn.IFNA(INDEX(donvivattu,MATCH(B73,mavattu,0),0),0)</f>
        <v>Mét</v>
      </c>
      <c r="D73" s="314"/>
      <c r="E73" s="315">
        <f>(C6+C7)*2</f>
        <v>4.5999999999999996</v>
      </c>
      <c r="F73" s="316"/>
      <c r="G73" s="317">
        <f>E73</f>
        <v>4.5999999999999996</v>
      </c>
      <c r="H73" s="318">
        <f>_xlfn.IFNA(INDEX(dongiavattu,MATCH(B73,mavattu,0),0),0)</f>
        <v>20000</v>
      </c>
      <c r="I73" s="318">
        <f>G73*H73</f>
        <v>92000</v>
      </c>
      <c r="L73" s="319"/>
    </row>
    <row r="74" spans="1:12" x14ac:dyDescent="0.3">
      <c r="A74" s="302" t="str">
        <f>_xlfn.IFNA(INDEX(diengiaivattu,MATCH(B74,mavattu,0),0),0)</f>
        <v>Ốc vít</v>
      </c>
      <c r="B74" s="297" t="s">
        <v>100</v>
      </c>
      <c r="C74" s="320" t="str">
        <f>_xlfn.IFNA(INDEX(donvivattu,MATCH(B74,mavattu,0),0),0)</f>
        <v>Cái</v>
      </c>
      <c r="D74" s="321"/>
      <c r="E74" s="297">
        <f>15+E23*4+E24*4+ROUNDUP(D19/0.5,0)*E19+ROUNDUP(D26/0.5,0)*E26+E33*4</f>
        <v>82</v>
      </c>
      <c r="F74" s="323"/>
      <c r="G74" s="324">
        <f>E74*(1+hp_vtk)</f>
        <v>86.100000000000009</v>
      </c>
      <c r="H74" s="301">
        <f>_xlfn.IFNA(INDEX(dongiavattu,MATCH(B74,mavattu,0),0),0)</f>
        <v>600</v>
      </c>
      <c r="I74" s="301">
        <f>G74*H74</f>
        <v>51660.000000000007</v>
      </c>
    </row>
    <row r="75" spans="1:12" x14ac:dyDescent="0.3">
      <c r="A75" s="302" t="str">
        <f>_xlfn.IFNA(INDEX(diengiaivattu,MATCH(B75,mavattu,0),0),0)</f>
        <v>Nút bịt nhựa</v>
      </c>
      <c r="B75" s="297" t="s">
        <v>99</v>
      </c>
      <c r="C75" s="320" t="str">
        <f>_xlfn.IFNA(INDEX(donvivattu,MATCH(B75,mavattu,0),0),0)</f>
        <v>Cái</v>
      </c>
      <c r="D75" s="321"/>
      <c r="E75" s="297">
        <f>ROUNDUP(C6/0.5,0)*2</f>
        <v>6</v>
      </c>
      <c r="F75" s="323"/>
      <c r="G75" s="324">
        <f>E75*(1+hp_vtk)</f>
        <v>6.3000000000000007</v>
      </c>
      <c r="H75" s="301">
        <f>_xlfn.IFNA(INDEX(dongiavattu,MATCH(B75,mavattu,0),0),0)</f>
        <v>700</v>
      </c>
      <c r="I75" s="301">
        <f>G75*H75</f>
        <v>4410.0000000000009</v>
      </c>
    </row>
    <row r="76" spans="1:12" x14ac:dyDescent="0.3">
      <c r="A76" s="302"/>
      <c r="B76" s="297"/>
      <c r="C76" s="320"/>
      <c r="D76" s="321"/>
      <c r="E76" s="325"/>
      <c r="F76" s="323"/>
      <c r="G76" s="324"/>
      <c r="H76" s="301"/>
      <c r="I76" s="301"/>
    </row>
    <row r="77" spans="1:12" x14ac:dyDescent="0.3">
      <c r="A77" s="302"/>
      <c r="B77" s="297"/>
      <c r="C77" s="320"/>
      <c r="D77" s="321"/>
      <c r="E77" s="297"/>
      <c r="F77" s="323"/>
      <c r="G77" s="324"/>
      <c r="H77" s="301"/>
      <c r="I77" s="301"/>
    </row>
    <row r="78" spans="1:12" collapsed="1" x14ac:dyDescent="0.3">
      <c r="A78" s="302"/>
      <c r="B78" s="297"/>
      <c r="C78" s="320"/>
      <c r="D78" s="321"/>
      <c r="E78" s="297"/>
      <c r="F78" s="323"/>
      <c r="G78" s="324"/>
      <c r="H78" s="301"/>
      <c r="I78" s="301"/>
    </row>
    <row r="79" spans="1:12" hidden="1" outlineLevel="1" x14ac:dyDescent="0.3">
      <c r="A79" s="302"/>
      <c r="B79" s="297"/>
      <c r="C79" s="320"/>
      <c r="D79" s="321"/>
      <c r="E79" s="297"/>
      <c r="F79" s="323"/>
      <c r="G79" s="324"/>
      <c r="H79" s="301"/>
      <c r="I79" s="301"/>
    </row>
    <row r="80" spans="1:12" hidden="1" outlineLevel="1" x14ac:dyDescent="0.3">
      <c r="A80" s="302"/>
      <c r="B80" s="297"/>
      <c r="C80" s="320"/>
      <c r="D80" s="321"/>
      <c r="E80" s="297"/>
      <c r="F80" s="323"/>
      <c r="G80" s="324"/>
      <c r="H80" s="301"/>
      <c r="I80" s="301"/>
    </row>
    <row r="81" spans="1:9" hidden="1" outlineLevel="1" x14ac:dyDescent="0.3">
      <c r="A81" s="302"/>
      <c r="B81" s="297"/>
      <c r="C81" s="320"/>
      <c r="D81" s="321"/>
      <c r="E81" s="297"/>
      <c r="F81" s="323"/>
      <c r="G81" s="324"/>
      <c r="H81" s="301"/>
      <c r="I81" s="301"/>
    </row>
    <row r="82" spans="1:9" hidden="1" outlineLevel="1" x14ac:dyDescent="0.3">
      <c r="A82" s="302"/>
      <c r="B82" s="297"/>
      <c r="C82" s="320"/>
      <c r="D82" s="321"/>
      <c r="E82" s="297"/>
      <c r="F82" s="323"/>
      <c r="G82" s="324"/>
      <c r="H82" s="301"/>
      <c r="I82" s="301"/>
    </row>
    <row r="83" spans="1:9" hidden="1" outlineLevel="1" x14ac:dyDescent="0.3">
      <c r="A83" s="302"/>
      <c r="B83" s="297"/>
      <c r="C83" s="320"/>
      <c r="D83" s="321"/>
      <c r="E83" s="297"/>
      <c r="F83" s="323"/>
      <c r="G83" s="324"/>
      <c r="H83" s="301"/>
      <c r="I83" s="301"/>
    </row>
    <row r="84" spans="1:9" hidden="1" outlineLevel="1" collapsed="1" x14ac:dyDescent="0.3">
      <c r="A84" s="302"/>
      <c r="B84" s="297"/>
      <c r="C84" s="320"/>
      <c r="D84" s="321"/>
      <c r="E84" s="297"/>
      <c r="F84" s="323"/>
      <c r="G84" s="324"/>
      <c r="H84" s="301"/>
      <c r="I84" s="301"/>
    </row>
    <row r="85" spans="1:9" hidden="1" outlineLevel="1" x14ac:dyDescent="0.3">
      <c r="A85" s="302"/>
      <c r="B85" s="297"/>
      <c r="C85" s="320"/>
      <c r="D85" s="321"/>
      <c r="E85" s="297"/>
      <c r="F85" s="323"/>
      <c r="G85" s="324"/>
      <c r="H85" s="301"/>
      <c r="I85" s="301"/>
    </row>
    <row r="86" spans="1:9" hidden="1" outlineLevel="1" x14ac:dyDescent="0.3">
      <c r="A86" s="302"/>
      <c r="B86" s="297"/>
      <c r="C86" s="320"/>
      <c r="D86" s="321"/>
      <c r="E86" s="297"/>
      <c r="F86" s="323"/>
      <c r="G86" s="324"/>
      <c r="H86" s="301"/>
      <c r="I86" s="301"/>
    </row>
    <row r="87" spans="1:9" hidden="1" outlineLevel="1" x14ac:dyDescent="0.3">
      <c r="A87" s="302"/>
      <c r="B87" s="297"/>
      <c r="C87" s="320"/>
      <c r="D87" s="321"/>
      <c r="E87" s="297"/>
      <c r="F87" s="323"/>
      <c r="G87" s="324"/>
      <c r="H87" s="301"/>
      <c r="I87" s="301"/>
    </row>
    <row r="88" spans="1:9" hidden="1" outlineLevel="1" x14ac:dyDescent="0.3">
      <c r="A88" s="302"/>
      <c r="B88" s="297"/>
      <c r="C88" s="320"/>
      <c r="D88" s="321"/>
      <c r="E88" s="297"/>
      <c r="F88" s="323"/>
      <c r="G88" s="324"/>
      <c r="H88" s="301"/>
      <c r="I88" s="301"/>
    </row>
    <row r="89" spans="1:9" hidden="1" outlineLevel="1" x14ac:dyDescent="0.3">
      <c r="A89" s="302"/>
      <c r="B89" s="297"/>
      <c r="C89" s="320"/>
      <c r="D89" s="321"/>
      <c r="E89" s="297"/>
      <c r="F89" s="323"/>
      <c r="G89" s="324"/>
      <c r="H89" s="301"/>
      <c r="I89" s="301"/>
    </row>
    <row r="90" spans="1:9" hidden="1" outlineLevel="1" x14ac:dyDescent="0.3">
      <c r="A90" s="302"/>
      <c r="B90" s="297"/>
      <c r="C90" s="320"/>
      <c r="D90" s="321"/>
      <c r="E90" s="297"/>
      <c r="F90" s="323"/>
      <c r="G90" s="324"/>
      <c r="H90" s="301"/>
      <c r="I90" s="301"/>
    </row>
    <row r="91" spans="1:9" hidden="1" outlineLevel="1" x14ac:dyDescent="0.3">
      <c r="A91" s="302"/>
      <c r="B91" s="297"/>
      <c r="C91" s="320"/>
      <c r="D91" s="321"/>
      <c r="E91" s="297"/>
      <c r="F91" s="323"/>
      <c r="G91" s="324"/>
      <c r="H91" s="301"/>
      <c r="I91" s="301"/>
    </row>
    <row r="92" spans="1:9" hidden="1" outlineLevel="1" x14ac:dyDescent="0.3">
      <c r="A92" s="302"/>
      <c r="B92" s="297"/>
      <c r="C92" s="320"/>
      <c r="D92" s="321"/>
      <c r="E92" s="297"/>
      <c r="F92" s="323"/>
      <c r="G92" s="324"/>
      <c r="H92" s="301"/>
      <c r="I92" s="301"/>
    </row>
    <row r="93" spans="1:9" hidden="1" outlineLevel="1" x14ac:dyDescent="0.3">
      <c r="A93" s="302"/>
      <c r="B93" s="297"/>
      <c r="C93" s="320"/>
      <c r="D93" s="321"/>
      <c r="E93" s="297"/>
      <c r="F93" s="323"/>
      <c r="G93" s="324"/>
      <c r="H93" s="301"/>
      <c r="I93" s="301"/>
    </row>
    <row r="94" spans="1:9" hidden="1" outlineLevel="1" x14ac:dyDescent="0.3">
      <c r="A94" s="302"/>
      <c r="B94" s="297"/>
      <c r="C94" s="320"/>
      <c r="D94" s="321"/>
      <c r="E94" s="297"/>
      <c r="F94" s="323"/>
      <c r="G94" s="324"/>
      <c r="H94" s="301"/>
      <c r="I94" s="301"/>
    </row>
    <row r="95" spans="1:9" hidden="1" outlineLevel="1" x14ac:dyDescent="0.3">
      <c r="A95" s="302"/>
      <c r="B95" s="297"/>
      <c r="C95" s="320"/>
      <c r="D95" s="321"/>
      <c r="E95" s="297"/>
      <c r="F95" s="323"/>
      <c r="G95" s="324"/>
      <c r="H95" s="301"/>
      <c r="I95" s="301"/>
    </row>
    <row r="96" spans="1:9" hidden="1" outlineLevel="1" x14ac:dyDescent="0.3">
      <c r="A96" s="302"/>
      <c r="B96" s="297"/>
      <c r="C96" s="320"/>
      <c r="D96" s="321"/>
      <c r="E96" s="297"/>
      <c r="F96" s="323"/>
      <c r="G96" s="324"/>
      <c r="H96" s="301"/>
      <c r="I96" s="301"/>
    </row>
    <row r="97" spans="1:9" hidden="1" outlineLevel="1" x14ac:dyDescent="0.3">
      <c r="A97" s="302"/>
      <c r="B97" s="297"/>
      <c r="C97" s="320"/>
      <c r="D97" s="321"/>
      <c r="E97" s="297"/>
      <c r="F97" s="323"/>
      <c r="G97" s="324"/>
      <c r="H97" s="301"/>
      <c r="I97" s="301"/>
    </row>
    <row r="98" spans="1:9" hidden="1" outlineLevel="1" x14ac:dyDescent="0.3">
      <c r="A98" s="302"/>
      <c r="B98" s="297"/>
      <c r="C98" s="320"/>
      <c r="D98" s="321"/>
      <c r="E98" s="297"/>
      <c r="F98" s="323"/>
      <c r="G98" s="324"/>
      <c r="H98" s="301"/>
      <c r="I98" s="301"/>
    </row>
    <row r="99" spans="1:9" hidden="1" outlineLevel="1" x14ac:dyDescent="0.3">
      <c r="A99" s="302"/>
      <c r="B99" s="297"/>
      <c r="C99" s="320"/>
      <c r="D99" s="321"/>
      <c r="E99" s="297"/>
      <c r="F99" s="323"/>
      <c r="G99" s="324"/>
      <c r="H99" s="301"/>
      <c r="I99" s="301"/>
    </row>
    <row r="100" spans="1:9" hidden="1" outlineLevel="1" x14ac:dyDescent="0.3">
      <c r="A100" s="302"/>
      <c r="B100" s="297"/>
      <c r="C100" s="320"/>
      <c r="D100" s="321"/>
      <c r="E100" s="297"/>
      <c r="F100" s="323"/>
      <c r="G100" s="324"/>
      <c r="H100" s="301"/>
      <c r="I100" s="301"/>
    </row>
    <row r="101" spans="1:9" hidden="1" outlineLevel="1" x14ac:dyDescent="0.3">
      <c r="A101" s="302"/>
      <c r="B101" s="297"/>
      <c r="C101" s="320"/>
      <c r="D101" s="321"/>
      <c r="E101" s="297"/>
      <c r="F101" s="323"/>
      <c r="G101" s="324"/>
      <c r="H101" s="301"/>
      <c r="I101" s="301"/>
    </row>
    <row r="102" spans="1:9" hidden="1" outlineLevel="1" x14ac:dyDescent="0.3">
      <c r="A102" s="302"/>
      <c r="B102" s="297"/>
      <c r="C102" s="320"/>
      <c r="D102" s="321"/>
      <c r="E102" s="297"/>
      <c r="F102" s="323"/>
      <c r="G102" s="324"/>
      <c r="H102" s="301"/>
      <c r="I102" s="301"/>
    </row>
    <row r="103" spans="1:9" hidden="1" outlineLevel="1" x14ac:dyDescent="0.3">
      <c r="A103" s="302"/>
      <c r="B103" s="297"/>
      <c r="C103" s="320"/>
      <c r="D103" s="321"/>
      <c r="E103" s="297"/>
      <c r="F103" s="323"/>
      <c r="G103" s="324"/>
      <c r="H103" s="301"/>
      <c r="I103" s="301"/>
    </row>
    <row r="104" spans="1:9" hidden="1" outlineLevel="1" x14ac:dyDescent="0.3">
      <c r="A104" s="302"/>
      <c r="B104" s="297"/>
      <c r="C104" s="320"/>
      <c r="D104" s="321"/>
      <c r="E104" s="297"/>
      <c r="F104" s="323"/>
      <c r="G104" s="324"/>
      <c r="H104" s="301"/>
      <c r="I104" s="301"/>
    </row>
    <row r="105" spans="1:9" hidden="1" outlineLevel="1" x14ac:dyDescent="0.3">
      <c r="A105" s="302"/>
      <c r="B105" s="297"/>
      <c r="C105" s="320"/>
      <c r="D105" s="321"/>
      <c r="E105" s="297"/>
      <c r="F105" s="323"/>
      <c r="G105" s="324"/>
      <c r="H105" s="301"/>
      <c r="I105" s="301"/>
    </row>
    <row r="106" spans="1:9" hidden="1" outlineLevel="1" x14ac:dyDescent="0.3">
      <c r="A106" s="302"/>
      <c r="B106" s="297"/>
      <c r="C106" s="320"/>
      <c r="D106" s="321"/>
      <c r="E106" s="297"/>
      <c r="F106" s="323"/>
      <c r="G106" s="324"/>
      <c r="H106" s="301"/>
      <c r="I106" s="301"/>
    </row>
    <row r="107" spans="1:9" hidden="1" outlineLevel="1" x14ac:dyDescent="0.3">
      <c r="A107" s="302"/>
      <c r="B107" s="297"/>
      <c r="C107" s="320"/>
      <c r="D107" s="321"/>
      <c r="E107" s="297"/>
      <c r="F107" s="323"/>
      <c r="G107" s="324"/>
      <c r="H107" s="301"/>
      <c r="I107" s="301"/>
    </row>
    <row r="108" spans="1:9" hidden="1" outlineLevel="1" x14ac:dyDescent="0.3">
      <c r="A108" s="302"/>
      <c r="B108" s="297"/>
      <c r="C108" s="320"/>
      <c r="D108" s="321"/>
      <c r="E108" s="297"/>
      <c r="F108" s="323"/>
      <c r="G108" s="324"/>
      <c r="H108" s="301"/>
      <c r="I108" s="301"/>
    </row>
    <row r="109" spans="1:9" hidden="1" outlineLevel="1" x14ac:dyDescent="0.3">
      <c r="A109" s="302"/>
      <c r="B109" s="297"/>
      <c r="C109" s="320"/>
      <c r="D109" s="321"/>
      <c r="E109" s="297"/>
      <c r="F109" s="323"/>
      <c r="G109" s="324"/>
      <c r="H109" s="301"/>
      <c r="I109" s="301"/>
    </row>
    <row r="110" spans="1:9" hidden="1" outlineLevel="1" x14ac:dyDescent="0.3">
      <c r="A110" s="302"/>
      <c r="B110" s="297"/>
      <c r="C110" s="320"/>
      <c r="D110" s="321"/>
      <c r="E110" s="297"/>
      <c r="F110" s="323"/>
      <c r="G110" s="324"/>
      <c r="H110" s="301"/>
      <c r="I110" s="301"/>
    </row>
    <row r="111" spans="1:9" hidden="1" outlineLevel="1" x14ac:dyDescent="0.3">
      <c r="A111" s="303"/>
      <c r="B111" s="304"/>
      <c r="C111" s="326"/>
      <c r="D111" s="327"/>
      <c r="E111" s="304"/>
      <c r="F111" s="328"/>
      <c r="G111" s="329"/>
      <c r="H111" s="308"/>
      <c r="I111" s="308"/>
    </row>
    <row r="112" spans="1:9" collapsed="1" x14ac:dyDescent="0.3">
      <c r="A112" s="282" t="s">
        <v>237</v>
      </c>
      <c r="B112" s="309"/>
      <c r="C112" s="309" t="s">
        <v>238</v>
      </c>
      <c r="D112" s="309" t="s">
        <v>239</v>
      </c>
      <c r="E112" s="282" t="s">
        <v>240</v>
      </c>
      <c r="F112" s="282" t="s">
        <v>241</v>
      </c>
      <c r="G112" s="309" t="s">
        <v>242</v>
      </c>
      <c r="H112" s="311"/>
      <c r="I112" s="287">
        <f>SUBTOTAL(9,I113:I125)</f>
        <v>360928.46321481484</v>
      </c>
    </row>
    <row r="113" spans="1:12" x14ac:dyDescent="0.3">
      <c r="A113" s="312" t="str">
        <f>_xlfn.IFNA(INDEX( tenkinh,MATCH(B113,makinh,0),0),"")</f>
        <v>Kính trắng cường lực dày 8mm</v>
      </c>
      <c r="B113" s="313" t="str">
        <f>C2</f>
        <v>k8cl</v>
      </c>
      <c r="C113" s="315">
        <f>(C8-J113)/F113</f>
        <v>0.5</v>
      </c>
      <c r="D113" s="315">
        <f>C9-K113</f>
        <v>0.44299999999999995</v>
      </c>
      <c r="E113" s="330">
        <f>D113*C113</f>
        <v>0.22149999999999997</v>
      </c>
      <c r="F113" s="289">
        <v>2</v>
      </c>
      <c r="G113" s="331">
        <f>E113*F113*(1+hp_kinh)</f>
        <v>0.45628999999999997</v>
      </c>
      <c r="H113" s="318">
        <f>_xlfn.IFNA(INDEX(dongiakinh,MATCH(B113,makinh,0),0),0)</f>
        <v>353703.70370370371</v>
      </c>
      <c r="I113" s="318">
        <f>G113*H113</f>
        <v>161391.46296296295</v>
      </c>
      <c r="J113" s="243">
        <f>0.081*2+0.038</f>
        <v>0.2</v>
      </c>
      <c r="K113" s="243">
        <f>0.081+0.076</f>
        <v>0.157</v>
      </c>
      <c r="L113" s="319" t="str">
        <f>D8</f>
        <v>Cửa</v>
      </c>
    </row>
    <row r="114" spans="1:12" x14ac:dyDescent="0.3">
      <c r="A114" s="332" t="str">
        <f>_xlfn.IFNA(INDEX( tenkinh,MATCH(B114,makinh,0),0),"")</f>
        <v>Kính trắng cường lực dày 8mm</v>
      </c>
      <c r="B114" s="333" t="str">
        <f>C3</f>
        <v>k8cl</v>
      </c>
      <c r="C114" s="325">
        <f>(C10-J114)/F114</f>
        <v>1.1319999999999999</v>
      </c>
      <c r="D114" s="325">
        <f>C11-K114</f>
        <v>0.43700000000000011</v>
      </c>
      <c r="E114" s="334">
        <f>D114*C114</f>
        <v>0.49468400000000007</v>
      </c>
      <c r="F114" s="297">
        <v>1</v>
      </c>
      <c r="G114" s="335">
        <f>E114*F114*(1+hp_kinh)</f>
        <v>0.50952452000000004</v>
      </c>
      <c r="H114" s="336">
        <f>_xlfn.IFNA(INDEX(dongiakinh,MATCH(B114,makinh,0),0),0)</f>
        <v>353703.70370370371</v>
      </c>
      <c r="I114" s="336">
        <f>G114*H114</f>
        <v>180220.70985185186</v>
      </c>
      <c r="J114" s="243">
        <f>0.034*2</f>
        <v>6.8000000000000005E-2</v>
      </c>
      <c r="K114" s="243">
        <f>0.034+0.029</f>
        <v>6.3E-2</v>
      </c>
      <c r="L114" s="319" t="str">
        <f>D10</f>
        <v>Fix</v>
      </c>
    </row>
    <row r="115" spans="1:12" x14ac:dyDescent="0.3">
      <c r="A115" s="332"/>
      <c r="B115" s="333"/>
      <c r="C115" s="325"/>
      <c r="D115" s="325"/>
      <c r="E115" s="334"/>
      <c r="F115" s="297"/>
      <c r="G115" s="335"/>
      <c r="H115" s="336"/>
      <c r="I115" s="336"/>
      <c r="L115" s="319"/>
    </row>
    <row r="116" spans="1:12" collapsed="1" x14ac:dyDescent="0.3">
      <c r="A116" s="332"/>
      <c r="B116" s="333"/>
      <c r="C116" s="325"/>
      <c r="D116" s="325"/>
      <c r="E116" s="334"/>
      <c r="F116" s="297"/>
      <c r="G116" s="335"/>
      <c r="H116" s="336"/>
      <c r="I116" s="336"/>
      <c r="L116" s="319"/>
    </row>
    <row r="117" spans="1:12" hidden="1" outlineLevel="1" x14ac:dyDescent="0.3">
      <c r="A117" s="332">
        <f t="shared" ref="A117:A125" si="0">_xlfn.IFNA(INDEX(tenkinh,MATCH(B117,makinh,0),0),0)</f>
        <v>0</v>
      </c>
      <c r="B117" s="333"/>
      <c r="C117" s="325"/>
      <c r="D117" s="325"/>
      <c r="E117" s="334"/>
      <c r="F117" s="297"/>
      <c r="G117" s="335"/>
      <c r="H117" s="336"/>
      <c r="I117" s="336"/>
      <c r="L117" s="319"/>
    </row>
    <row r="118" spans="1:12" hidden="1" outlineLevel="1" x14ac:dyDescent="0.3">
      <c r="A118" s="332">
        <f t="shared" si="0"/>
        <v>0</v>
      </c>
      <c r="B118" s="333"/>
      <c r="C118" s="325"/>
      <c r="D118" s="325"/>
      <c r="E118" s="334"/>
      <c r="F118" s="297"/>
      <c r="G118" s="335"/>
      <c r="H118" s="336"/>
      <c r="I118" s="336"/>
      <c r="L118" s="319"/>
    </row>
    <row r="119" spans="1:12" hidden="1" outlineLevel="1" x14ac:dyDescent="0.3">
      <c r="A119" s="332">
        <f t="shared" si="0"/>
        <v>0</v>
      </c>
      <c r="B119" s="333"/>
      <c r="C119" s="325"/>
      <c r="D119" s="325"/>
      <c r="E119" s="334"/>
      <c r="F119" s="297"/>
      <c r="G119" s="335"/>
      <c r="H119" s="336"/>
      <c r="I119" s="336"/>
      <c r="L119" s="319"/>
    </row>
    <row r="120" spans="1:12" hidden="1" outlineLevel="1" x14ac:dyDescent="0.3">
      <c r="A120" s="332">
        <f t="shared" si="0"/>
        <v>0</v>
      </c>
      <c r="B120" s="333"/>
      <c r="C120" s="325"/>
      <c r="D120" s="325"/>
      <c r="E120" s="334"/>
      <c r="F120" s="297"/>
      <c r="G120" s="335"/>
      <c r="H120" s="336"/>
      <c r="I120" s="336"/>
      <c r="L120" s="319"/>
    </row>
    <row r="121" spans="1:12" collapsed="1" x14ac:dyDescent="0.3">
      <c r="A121" s="332" t="str">
        <f t="shared" si="0"/>
        <v>Băng keo bảo vệ kính</v>
      </c>
      <c r="B121" s="333" t="s">
        <v>69</v>
      </c>
      <c r="C121" s="299"/>
      <c r="D121" s="299"/>
      <c r="E121" s="334"/>
      <c r="F121" s="323"/>
      <c r="G121" s="335">
        <f>SUM(G113:G120)*2</f>
        <v>1.93162904</v>
      </c>
      <c r="H121" s="336">
        <f>_xlfn.IFNA(INDEX(dongiakinh,MATCH(B121,makinh,0),0),0)</f>
        <v>10000</v>
      </c>
      <c r="I121" s="336">
        <f>G121*H121</f>
        <v>19316.290400000002</v>
      </c>
      <c r="L121" s="319"/>
    </row>
    <row r="122" spans="1:12" x14ac:dyDescent="0.3">
      <c r="A122" s="302" t="str">
        <f t="shared" si="0"/>
        <v>Mài thô</v>
      </c>
      <c r="B122" s="333" t="s">
        <v>243</v>
      </c>
      <c r="C122" s="299"/>
      <c r="D122" s="299"/>
      <c r="E122" s="334"/>
      <c r="F122" s="297"/>
      <c r="G122" s="335">
        <f>G121/2</f>
        <v>0.96581452000000001</v>
      </c>
      <c r="H122" s="336">
        <f>_xlfn.IFNA(INDEX(dongiakinh,MATCH(B122,makinh,0),0),0)</f>
        <v>0</v>
      </c>
      <c r="I122" s="336">
        <f>G122*H122</f>
        <v>0</v>
      </c>
      <c r="L122" s="319"/>
    </row>
    <row r="123" spans="1:12" x14ac:dyDescent="0.3">
      <c r="A123" s="302" t="str">
        <f t="shared" si="0"/>
        <v>Mài bóng</v>
      </c>
      <c r="B123" s="333" t="s">
        <v>74</v>
      </c>
      <c r="C123" s="299"/>
      <c r="D123" s="299"/>
      <c r="E123" s="334"/>
      <c r="F123" s="297"/>
      <c r="G123" s="335">
        <f>F123*(1+hp_kinh)</f>
        <v>0</v>
      </c>
      <c r="H123" s="336">
        <f>_xlfn.IFNA(INDEX(dongiakinh,MATCH(B123,makinh,0),0),0)</f>
        <v>8000</v>
      </c>
      <c r="I123" s="336">
        <f>G123*H123</f>
        <v>0</v>
      </c>
      <c r="L123" s="319"/>
    </row>
    <row r="124" spans="1:12" x14ac:dyDescent="0.3">
      <c r="A124" s="302" t="str">
        <f t="shared" si="0"/>
        <v>Khoét lỗ</v>
      </c>
      <c r="B124" s="333" t="s">
        <v>73</v>
      </c>
      <c r="C124" s="299"/>
      <c r="D124" s="299"/>
      <c r="E124" s="334"/>
      <c r="F124" s="297"/>
      <c r="G124" s="335">
        <f>F124*(1+hp_kinh)</f>
        <v>0</v>
      </c>
      <c r="H124" s="336">
        <f>_xlfn.IFNA(INDEX(dongiakinh,MATCH(B124,makinh,0),0),0)</f>
        <v>20000</v>
      </c>
      <c r="I124" s="336">
        <f>G124*H124</f>
        <v>0</v>
      </c>
      <c r="L124" s="319"/>
    </row>
    <row r="125" spans="1:12" x14ac:dyDescent="0.3">
      <c r="A125" s="303" t="str">
        <f t="shared" si="0"/>
        <v>Khoan lỗ</v>
      </c>
      <c r="B125" s="337" t="s">
        <v>72</v>
      </c>
      <c r="C125" s="306"/>
      <c r="D125" s="306"/>
      <c r="E125" s="338"/>
      <c r="F125" s="304"/>
      <c r="G125" s="339">
        <f>F125*(1+hp_kinh)</f>
        <v>0</v>
      </c>
      <c r="H125" s="340">
        <f>_xlfn.IFNA(INDEX(dongiakinh,MATCH(B125,makinh,0),0),0)</f>
        <v>5000</v>
      </c>
      <c r="I125" s="340">
        <f>G125*H125</f>
        <v>0</v>
      </c>
      <c r="L125" s="319"/>
    </row>
    <row r="126" spans="1:12" x14ac:dyDescent="0.3">
      <c r="A126" s="341" t="s">
        <v>244</v>
      </c>
      <c r="B126" s="342"/>
      <c r="C126" s="341"/>
      <c r="D126" s="341"/>
      <c r="E126" s="342"/>
      <c r="F126" s="341"/>
      <c r="G126" s="342"/>
      <c r="H126" s="343"/>
      <c r="I126" s="344">
        <f>SUBTOTAL(9,I127:I135)</f>
        <v>666600</v>
      </c>
    </row>
    <row r="127" spans="1:12" x14ac:dyDescent="0.3">
      <c r="A127" s="359" t="str">
        <f>"D.1 NHÂN CÔNG GIA CÔNG ("&amp;B2&amp;")"</f>
        <v>D.1 NHÂN CÔNG GIA CÔNG (CỬA SỔ LÙA)</v>
      </c>
      <c r="B127" s="346"/>
      <c r="C127" s="347"/>
      <c r="D127" s="347"/>
      <c r="E127" s="348"/>
      <c r="F127" s="349"/>
      <c r="G127" s="331">
        <f>$F$5</f>
        <v>1.32</v>
      </c>
      <c r="H127" s="318">
        <f>ncsx_csl</f>
        <v>175000</v>
      </c>
      <c r="I127" s="318">
        <f>G127*H127</f>
        <v>231000</v>
      </c>
      <c r="L127" s="319"/>
    </row>
    <row r="128" spans="1:12" x14ac:dyDescent="0.3">
      <c r="A128" s="354" t="s">
        <v>104</v>
      </c>
      <c r="B128" s="351"/>
      <c r="C128" s="352"/>
      <c r="D128" s="352"/>
      <c r="E128" s="352"/>
      <c r="F128" s="352"/>
      <c r="G128" s="353">
        <f>$F$5</f>
        <v>1.32</v>
      </c>
      <c r="H128" s="336">
        <f>vc</f>
        <v>30000</v>
      </c>
      <c r="I128" s="336">
        <f>G128*H128</f>
        <v>39600</v>
      </c>
    </row>
    <row r="129" spans="1:9" x14ac:dyDescent="0.3">
      <c r="A129" s="354" t="str">
        <f>"D.3 NHÂN CÔNG LẮP ĐẶT ("&amp;B2&amp;")"</f>
        <v>D.3 NHÂN CÔNG LẮP ĐẶT (CỬA SỔ LÙA)</v>
      </c>
      <c r="B129" s="351"/>
      <c r="C129" s="352"/>
      <c r="D129" s="352"/>
      <c r="E129" s="352"/>
      <c r="F129" s="352"/>
      <c r="G129" s="353">
        <f>$F$5</f>
        <v>1.32</v>
      </c>
      <c r="H129" s="336">
        <f>ncld</f>
        <v>270000</v>
      </c>
      <c r="I129" s="336">
        <f>G129*H129</f>
        <v>356400</v>
      </c>
    </row>
    <row r="130" spans="1:9" x14ac:dyDescent="0.3">
      <c r="A130" s="354" t="str">
        <f>"D.4 CHI PHÍ VỆ SINH ("&amp;B2&amp;")"</f>
        <v>D.4 CHI PHÍ VỆ SINH (CỬA SỔ LÙA)</v>
      </c>
      <c r="B130" s="351"/>
      <c r="C130" s="352"/>
      <c r="D130" s="352"/>
      <c r="E130" s="352"/>
      <c r="F130" s="352"/>
      <c r="G130" s="353">
        <f>$F$5</f>
        <v>1.32</v>
      </c>
      <c r="H130" s="336">
        <f>vs</f>
        <v>30000</v>
      </c>
      <c r="I130" s="336">
        <f>G130*H130</f>
        <v>39600</v>
      </c>
    </row>
    <row r="131" spans="1:9" x14ac:dyDescent="0.3">
      <c r="A131" s="354"/>
      <c r="B131" s="351"/>
      <c r="C131" s="352"/>
      <c r="D131" s="352"/>
      <c r="E131" s="352"/>
      <c r="F131" s="352"/>
      <c r="G131" s="353"/>
      <c r="H131" s="336"/>
      <c r="I131" s="336"/>
    </row>
    <row r="132" spans="1:9" collapsed="1" x14ac:dyDescent="0.3">
      <c r="A132" s="354"/>
      <c r="B132" s="351"/>
      <c r="C132" s="352"/>
      <c r="D132" s="352"/>
      <c r="E132" s="352"/>
      <c r="F132" s="352"/>
      <c r="G132" s="353"/>
      <c r="H132" s="336"/>
      <c r="I132" s="336"/>
    </row>
    <row r="133" spans="1:9" hidden="1" outlineLevel="1" x14ac:dyDescent="0.3">
      <c r="A133" s="354"/>
      <c r="B133" s="351"/>
      <c r="C133" s="352"/>
      <c r="D133" s="352"/>
      <c r="E133" s="352"/>
      <c r="F133" s="352"/>
      <c r="G133" s="353"/>
      <c r="H133" s="336"/>
      <c r="I133" s="336"/>
    </row>
    <row r="134" spans="1:9" hidden="1" outlineLevel="1" x14ac:dyDescent="0.3">
      <c r="A134" s="354"/>
      <c r="B134" s="351"/>
      <c r="C134" s="352"/>
      <c r="D134" s="352"/>
      <c r="E134" s="352"/>
      <c r="F134" s="352"/>
      <c r="G134" s="353"/>
      <c r="H134" s="336"/>
      <c r="I134" s="336"/>
    </row>
    <row r="135" spans="1:9" hidden="1" outlineLevel="1" x14ac:dyDescent="0.3">
      <c r="A135" s="355"/>
      <c r="B135" s="356"/>
      <c r="C135" s="357"/>
      <c r="D135" s="357"/>
      <c r="E135" s="357"/>
      <c r="F135" s="357"/>
      <c r="G135" s="358"/>
      <c r="H135" s="340"/>
      <c r="I135" s="340"/>
    </row>
    <row r="136" spans="1:9" x14ac:dyDescent="0.3">
      <c r="A136" s="282" t="s">
        <v>245</v>
      </c>
      <c r="B136" s="309"/>
      <c r="C136" s="309"/>
      <c r="D136" s="282"/>
      <c r="E136" s="282"/>
      <c r="F136" s="282"/>
      <c r="G136" s="309"/>
      <c r="H136" s="311"/>
      <c r="I136" s="287">
        <f>SUBTOTAL(9,I137:I164)</f>
        <v>256676.2</v>
      </c>
    </row>
    <row r="137" spans="1:9" x14ac:dyDescent="0.3">
      <c r="A137" s="359" t="str">
        <f>_xlfn.IFNA(INDEX(diengiaivattu,MATCH(B137,mavattu,0),0),0)</f>
        <v>Cửa sổ lùa 2 cánh hệ Nova 50 - Draho</v>
      </c>
      <c r="B137" s="289" t="str">
        <f>A3</f>
        <v>CSL50-2C</v>
      </c>
      <c r="C137" s="360" t="str">
        <f>_xlfn.IFNA(INDEX(donvivattu,MATCH(B137,mavattu,0),0),0)</f>
        <v>Bộ</v>
      </c>
      <c r="D137" s="361"/>
      <c r="E137" s="289">
        <v>1</v>
      </c>
      <c r="F137" s="362"/>
      <c r="G137" s="331">
        <f>E137</f>
        <v>1</v>
      </c>
      <c r="H137" s="293">
        <f>_xlfn.IFNA(INDEX(dongiavattu,MATCH(B137,mavattu,0),0),0)</f>
        <v>256676.2</v>
      </c>
      <c r="I137" s="293">
        <f>G137*H137</f>
        <v>256676.2</v>
      </c>
    </row>
    <row r="138" spans="1:9" collapsed="1" x14ac:dyDescent="0.3">
      <c r="A138" s="302"/>
      <c r="B138" s="297"/>
      <c r="C138" s="320"/>
      <c r="D138" s="353"/>
      <c r="E138" s="297"/>
      <c r="F138" s="351"/>
      <c r="G138" s="335"/>
      <c r="H138" s="301"/>
      <c r="I138" s="301"/>
    </row>
    <row r="139" spans="1:9" hidden="1" outlineLevel="1" x14ac:dyDescent="0.3">
      <c r="A139" s="302"/>
      <c r="B139" s="297"/>
      <c r="C139" s="320"/>
      <c r="D139" s="353"/>
      <c r="E139" s="297"/>
      <c r="F139" s="351"/>
      <c r="G139" s="335"/>
      <c r="H139" s="301"/>
      <c r="I139" s="301"/>
    </row>
    <row r="140" spans="1:9" hidden="1" outlineLevel="1" collapsed="1" x14ac:dyDescent="0.3">
      <c r="A140" s="302"/>
      <c r="B140" s="297"/>
      <c r="C140" s="320"/>
      <c r="D140" s="353"/>
      <c r="E140" s="297"/>
      <c r="F140" s="351"/>
      <c r="G140" s="335"/>
      <c r="H140" s="301"/>
      <c r="I140" s="301"/>
    </row>
    <row r="141" spans="1:9" hidden="1" outlineLevel="1" x14ac:dyDescent="0.3">
      <c r="A141" s="302"/>
      <c r="B141" s="297"/>
      <c r="C141" s="320"/>
      <c r="D141" s="353"/>
      <c r="E141" s="297"/>
      <c r="F141" s="351"/>
      <c r="G141" s="335"/>
      <c r="H141" s="301"/>
      <c r="I141" s="301"/>
    </row>
    <row r="142" spans="1:9" hidden="1" outlineLevel="1" x14ac:dyDescent="0.3">
      <c r="A142" s="302"/>
      <c r="B142" s="297"/>
      <c r="C142" s="320"/>
      <c r="D142" s="353"/>
      <c r="E142" s="297"/>
      <c r="F142" s="351"/>
      <c r="G142" s="335"/>
      <c r="H142" s="301"/>
      <c r="I142" s="301"/>
    </row>
    <row r="143" spans="1:9" hidden="1" outlineLevel="1" x14ac:dyDescent="0.3">
      <c r="A143" s="302"/>
      <c r="B143" s="297"/>
      <c r="C143" s="320"/>
      <c r="D143" s="353"/>
      <c r="E143" s="297"/>
      <c r="F143" s="351"/>
      <c r="G143" s="335"/>
      <c r="H143" s="301"/>
      <c r="I143" s="301"/>
    </row>
    <row r="144" spans="1:9" hidden="1" outlineLevel="1" x14ac:dyDescent="0.3">
      <c r="A144" s="302"/>
      <c r="B144" s="297"/>
      <c r="C144" s="320"/>
      <c r="D144" s="353"/>
      <c r="E144" s="297"/>
      <c r="F144" s="351"/>
      <c r="G144" s="335"/>
      <c r="H144" s="301"/>
      <c r="I144" s="301"/>
    </row>
    <row r="145" spans="1:9" hidden="1" outlineLevel="1" x14ac:dyDescent="0.3">
      <c r="A145" s="302"/>
      <c r="B145" s="297"/>
      <c r="C145" s="320"/>
      <c r="D145" s="353"/>
      <c r="E145" s="297"/>
      <c r="F145" s="351"/>
      <c r="G145" s="335"/>
      <c r="H145" s="301"/>
      <c r="I145" s="301"/>
    </row>
    <row r="146" spans="1:9" hidden="1" outlineLevel="1" x14ac:dyDescent="0.3">
      <c r="A146" s="302"/>
      <c r="B146" s="297"/>
      <c r="C146" s="320"/>
      <c r="D146" s="353"/>
      <c r="E146" s="297"/>
      <c r="F146" s="351"/>
      <c r="G146" s="335"/>
      <c r="H146" s="301"/>
      <c r="I146" s="301"/>
    </row>
    <row r="147" spans="1:9" hidden="1" outlineLevel="1" x14ac:dyDescent="0.3">
      <c r="A147" s="302"/>
      <c r="B147" s="297"/>
      <c r="C147" s="320"/>
      <c r="D147" s="353"/>
      <c r="E147" s="297"/>
      <c r="F147" s="351"/>
      <c r="G147" s="335"/>
      <c r="H147" s="301"/>
      <c r="I147" s="301"/>
    </row>
    <row r="148" spans="1:9" hidden="1" outlineLevel="1" x14ac:dyDescent="0.3">
      <c r="A148" s="302"/>
      <c r="B148" s="297"/>
      <c r="C148" s="320"/>
      <c r="D148" s="353"/>
      <c r="E148" s="297"/>
      <c r="F148" s="351"/>
      <c r="G148" s="335"/>
      <c r="H148" s="301"/>
      <c r="I148" s="301"/>
    </row>
    <row r="149" spans="1:9" hidden="1" outlineLevel="1" x14ac:dyDescent="0.3">
      <c r="A149" s="302"/>
      <c r="B149" s="297"/>
      <c r="C149" s="320"/>
      <c r="D149" s="353"/>
      <c r="E149" s="297"/>
      <c r="F149" s="351"/>
      <c r="G149" s="335"/>
      <c r="H149" s="301"/>
      <c r="I149" s="301"/>
    </row>
    <row r="150" spans="1:9" hidden="1" outlineLevel="1" x14ac:dyDescent="0.3">
      <c r="A150" s="302"/>
      <c r="B150" s="297"/>
      <c r="C150" s="320"/>
      <c r="D150" s="353"/>
      <c r="E150" s="297"/>
      <c r="F150" s="351"/>
      <c r="G150" s="335"/>
      <c r="H150" s="301"/>
      <c r="I150" s="301"/>
    </row>
    <row r="151" spans="1:9" hidden="1" outlineLevel="1" x14ac:dyDescent="0.3">
      <c r="A151" s="302"/>
      <c r="B151" s="297"/>
      <c r="C151" s="320"/>
      <c r="D151" s="353"/>
      <c r="E151" s="297"/>
      <c r="F151" s="351"/>
      <c r="G151" s="335"/>
      <c r="H151" s="301"/>
      <c r="I151" s="301"/>
    </row>
    <row r="152" spans="1:9" hidden="1" outlineLevel="1" x14ac:dyDescent="0.3">
      <c r="A152" s="302"/>
      <c r="B152" s="297"/>
      <c r="C152" s="320"/>
      <c r="D152" s="353"/>
      <c r="E152" s="297"/>
      <c r="F152" s="351"/>
      <c r="G152" s="335"/>
      <c r="H152" s="301"/>
      <c r="I152" s="301"/>
    </row>
    <row r="153" spans="1:9" hidden="1" outlineLevel="1" x14ac:dyDescent="0.3">
      <c r="A153" s="302"/>
      <c r="B153" s="297"/>
      <c r="C153" s="320"/>
      <c r="D153" s="353"/>
      <c r="E153" s="297"/>
      <c r="F153" s="351"/>
      <c r="G153" s="335"/>
      <c r="H153" s="301"/>
      <c r="I153" s="301"/>
    </row>
    <row r="154" spans="1:9" hidden="1" outlineLevel="1" x14ac:dyDescent="0.3">
      <c r="A154" s="302"/>
      <c r="B154" s="297"/>
      <c r="C154" s="320"/>
      <c r="D154" s="353"/>
      <c r="E154" s="297"/>
      <c r="F154" s="351"/>
      <c r="G154" s="335"/>
      <c r="H154" s="301"/>
      <c r="I154" s="301"/>
    </row>
    <row r="155" spans="1:9" hidden="1" outlineLevel="1" x14ac:dyDescent="0.3">
      <c r="A155" s="302"/>
      <c r="B155" s="297"/>
      <c r="C155" s="320"/>
      <c r="D155" s="353"/>
      <c r="E155" s="297"/>
      <c r="F155" s="351"/>
      <c r="G155" s="335"/>
      <c r="H155" s="301"/>
      <c r="I155" s="301"/>
    </row>
    <row r="156" spans="1:9" hidden="1" outlineLevel="1" x14ac:dyDescent="0.3">
      <c r="A156" s="302"/>
      <c r="B156" s="297"/>
      <c r="C156" s="320"/>
      <c r="D156" s="353"/>
      <c r="E156" s="297"/>
      <c r="F156" s="351"/>
      <c r="G156" s="335"/>
      <c r="H156" s="301"/>
      <c r="I156" s="301"/>
    </row>
    <row r="157" spans="1:9" hidden="1" outlineLevel="1" x14ac:dyDescent="0.3">
      <c r="A157" s="302"/>
      <c r="B157" s="297"/>
      <c r="C157" s="320"/>
      <c r="D157" s="353"/>
      <c r="E157" s="297"/>
      <c r="F157" s="351"/>
      <c r="G157" s="335"/>
      <c r="H157" s="301"/>
      <c r="I157" s="301"/>
    </row>
    <row r="158" spans="1:9" hidden="1" outlineLevel="1" x14ac:dyDescent="0.3">
      <c r="A158" s="302"/>
      <c r="B158" s="297"/>
      <c r="C158" s="320"/>
      <c r="D158" s="353"/>
      <c r="E158" s="297"/>
      <c r="F158" s="351"/>
      <c r="G158" s="335"/>
      <c r="H158" s="301"/>
      <c r="I158" s="301"/>
    </row>
    <row r="159" spans="1:9" hidden="1" outlineLevel="1" x14ac:dyDescent="0.3">
      <c r="A159" s="302"/>
      <c r="B159" s="297"/>
      <c r="C159" s="320"/>
      <c r="D159" s="353"/>
      <c r="E159" s="297"/>
      <c r="F159" s="351"/>
      <c r="G159" s="335"/>
      <c r="H159" s="301"/>
      <c r="I159" s="301"/>
    </row>
    <row r="160" spans="1:9" hidden="1" outlineLevel="1" x14ac:dyDescent="0.3">
      <c r="A160" s="302"/>
      <c r="B160" s="297"/>
      <c r="C160" s="320"/>
      <c r="D160" s="353"/>
      <c r="E160" s="297"/>
      <c r="F160" s="351"/>
      <c r="G160" s="335"/>
      <c r="H160" s="301"/>
      <c r="I160" s="301"/>
    </row>
    <row r="161" spans="1:9" hidden="1" outlineLevel="1" x14ac:dyDescent="0.3">
      <c r="A161" s="302"/>
      <c r="B161" s="297"/>
      <c r="C161" s="320"/>
      <c r="D161" s="353"/>
      <c r="E161" s="297"/>
      <c r="F161" s="351"/>
      <c r="G161" s="335"/>
      <c r="H161" s="301"/>
      <c r="I161" s="301"/>
    </row>
    <row r="162" spans="1:9" hidden="1" outlineLevel="1" x14ac:dyDescent="0.3">
      <c r="A162" s="302"/>
      <c r="B162" s="297"/>
      <c r="C162" s="320"/>
      <c r="D162" s="353"/>
      <c r="E162" s="297"/>
      <c r="F162" s="351"/>
      <c r="G162" s="335"/>
      <c r="H162" s="301"/>
      <c r="I162" s="301"/>
    </row>
    <row r="163" spans="1:9" hidden="1" outlineLevel="1" x14ac:dyDescent="0.3">
      <c r="A163" s="302"/>
      <c r="B163" s="297"/>
      <c r="C163" s="320"/>
      <c r="D163" s="353"/>
      <c r="E163" s="297"/>
      <c r="F163" s="351"/>
      <c r="G163" s="335"/>
      <c r="H163" s="301"/>
      <c r="I163" s="301"/>
    </row>
    <row r="164" spans="1:9" hidden="1" outlineLevel="1" x14ac:dyDescent="0.3">
      <c r="A164" s="303"/>
      <c r="B164" s="304"/>
      <c r="C164" s="326"/>
      <c r="D164" s="358"/>
      <c r="E164" s="304"/>
      <c r="F164" s="356"/>
      <c r="G164" s="339"/>
      <c r="H164" s="308"/>
      <c r="I164" s="308"/>
    </row>
    <row r="165" spans="1:9" collapsed="1" x14ac:dyDescent="0.3">
      <c r="A165" s="282" t="s">
        <v>246</v>
      </c>
      <c r="B165" s="309"/>
      <c r="C165" s="309"/>
      <c r="D165" s="282"/>
      <c r="E165" s="282"/>
      <c r="F165" s="282"/>
      <c r="G165" s="309"/>
      <c r="H165" s="311"/>
      <c r="I165" s="287">
        <f>SUBTOTAL(9,I166:I185)</f>
        <v>35279.999999999993</v>
      </c>
    </row>
    <row r="166" spans="1:9" x14ac:dyDescent="0.3">
      <c r="A166" s="359" t="str">
        <f>_xlfn.IFNA(INDEX(diengiaivattu,MATCH(B166,mavattu,0),0),0)</f>
        <v>Gioăng lông</v>
      </c>
      <c r="B166" s="289" t="s">
        <v>95</v>
      </c>
      <c r="C166" s="360" t="str">
        <f>_xlfn.IFNA(INDEX(donvivattu,MATCH(B166,mavattu,0),0),0)</f>
        <v>md</v>
      </c>
      <c r="D166" s="367"/>
      <c r="E166" s="315">
        <f>C8*4+C9*(E15+E18)</f>
        <v>8.3999999999999986</v>
      </c>
      <c r="F166" s="368"/>
      <c r="G166" s="317">
        <f>E166*(1+hp_vtk)</f>
        <v>8.8199999999999985</v>
      </c>
      <c r="H166" s="293">
        <f>_xlfn.IFNA(INDEX(dongiavattu,MATCH(B166,mavattu,0),0),0)</f>
        <v>4000</v>
      </c>
      <c r="I166" s="293">
        <f>G166*H166</f>
        <v>35279.999999999993</v>
      </c>
    </row>
    <row r="167" spans="1:9" x14ac:dyDescent="0.3">
      <c r="A167" s="302"/>
      <c r="B167" s="297"/>
      <c r="C167" s="320"/>
      <c r="D167" s="321"/>
      <c r="E167" s="297"/>
      <c r="F167" s="323"/>
      <c r="G167" s="324"/>
      <c r="H167" s="301"/>
      <c r="I167" s="301"/>
    </row>
    <row r="168" spans="1:9" collapsed="1" x14ac:dyDescent="0.3">
      <c r="A168" s="302"/>
      <c r="B168" s="297"/>
      <c r="C168" s="320"/>
      <c r="D168" s="321"/>
      <c r="E168" s="297"/>
      <c r="F168" s="323"/>
      <c r="G168" s="324"/>
      <c r="H168" s="301"/>
      <c r="I168" s="301"/>
    </row>
    <row r="169" spans="1:9" hidden="1" outlineLevel="1" x14ac:dyDescent="0.3">
      <c r="A169" s="302"/>
      <c r="B169" s="297"/>
      <c r="C169" s="320"/>
      <c r="D169" s="321"/>
      <c r="E169" s="297"/>
      <c r="F169" s="323"/>
      <c r="G169" s="324"/>
      <c r="H169" s="301"/>
      <c r="I169" s="301"/>
    </row>
    <row r="170" spans="1:9" hidden="1" outlineLevel="1" collapsed="1" x14ac:dyDescent="0.3">
      <c r="A170" s="302"/>
      <c r="B170" s="297"/>
      <c r="C170" s="320"/>
      <c r="D170" s="321"/>
      <c r="E170" s="297"/>
      <c r="F170" s="323"/>
      <c r="G170" s="324"/>
      <c r="H170" s="301"/>
      <c r="I170" s="301"/>
    </row>
    <row r="171" spans="1:9" hidden="1" outlineLevel="1" x14ac:dyDescent="0.3">
      <c r="A171" s="302"/>
      <c r="B171" s="297"/>
      <c r="C171" s="320"/>
      <c r="D171" s="321"/>
      <c r="E171" s="297"/>
      <c r="F171" s="323"/>
      <c r="G171" s="324"/>
      <c r="H171" s="301"/>
      <c r="I171" s="301"/>
    </row>
    <row r="172" spans="1:9" hidden="1" outlineLevel="1" x14ac:dyDescent="0.3">
      <c r="A172" s="302"/>
      <c r="B172" s="297"/>
      <c r="C172" s="320"/>
      <c r="D172" s="321"/>
      <c r="E172" s="297"/>
      <c r="F172" s="323"/>
      <c r="G172" s="324"/>
      <c r="H172" s="301"/>
      <c r="I172" s="301"/>
    </row>
    <row r="173" spans="1:9" hidden="1" outlineLevel="1" x14ac:dyDescent="0.3">
      <c r="A173" s="302"/>
      <c r="B173" s="297"/>
      <c r="C173" s="320"/>
      <c r="D173" s="321"/>
      <c r="E173" s="297"/>
      <c r="F173" s="323"/>
      <c r="G173" s="324"/>
      <c r="H173" s="301"/>
      <c r="I173" s="301"/>
    </row>
    <row r="174" spans="1:9" hidden="1" outlineLevel="1" x14ac:dyDescent="0.3">
      <c r="A174" s="302"/>
      <c r="B174" s="297"/>
      <c r="C174" s="320"/>
      <c r="D174" s="321"/>
      <c r="E174" s="297"/>
      <c r="F174" s="323"/>
      <c r="G174" s="324"/>
      <c r="H174" s="301"/>
      <c r="I174" s="301"/>
    </row>
    <row r="175" spans="1:9" hidden="1" outlineLevel="1" x14ac:dyDescent="0.3">
      <c r="A175" s="302"/>
      <c r="B175" s="297"/>
      <c r="C175" s="320"/>
      <c r="D175" s="321"/>
      <c r="E175" s="297"/>
      <c r="F175" s="323"/>
      <c r="G175" s="324"/>
      <c r="H175" s="301"/>
      <c r="I175" s="301"/>
    </row>
    <row r="176" spans="1:9" hidden="1" outlineLevel="1" x14ac:dyDescent="0.3">
      <c r="A176" s="302"/>
      <c r="B176" s="297"/>
      <c r="C176" s="320"/>
      <c r="D176" s="321"/>
      <c r="E176" s="297"/>
      <c r="F176" s="323"/>
      <c r="G176" s="324"/>
      <c r="H176" s="301"/>
      <c r="I176" s="301"/>
    </row>
    <row r="177" spans="1:10" hidden="1" outlineLevel="1" x14ac:dyDescent="0.3">
      <c r="A177" s="302"/>
      <c r="B177" s="297"/>
      <c r="C177" s="320"/>
      <c r="D177" s="321"/>
      <c r="E177" s="297"/>
      <c r="F177" s="323"/>
      <c r="G177" s="324"/>
      <c r="H177" s="301"/>
      <c r="I177" s="301"/>
    </row>
    <row r="178" spans="1:10" hidden="1" outlineLevel="1" x14ac:dyDescent="0.3">
      <c r="A178" s="302"/>
      <c r="B178" s="297"/>
      <c r="C178" s="320"/>
      <c r="D178" s="321"/>
      <c r="E178" s="297"/>
      <c r="F178" s="323"/>
      <c r="G178" s="324"/>
      <c r="H178" s="301"/>
      <c r="I178" s="301"/>
    </row>
    <row r="179" spans="1:10" hidden="1" outlineLevel="1" x14ac:dyDescent="0.3">
      <c r="A179" s="302"/>
      <c r="B179" s="297"/>
      <c r="C179" s="320"/>
      <c r="D179" s="321"/>
      <c r="E179" s="297"/>
      <c r="F179" s="323"/>
      <c r="G179" s="324"/>
      <c r="H179" s="301"/>
      <c r="I179" s="301"/>
    </row>
    <row r="180" spans="1:10" hidden="1" outlineLevel="1" x14ac:dyDescent="0.3">
      <c r="A180" s="302"/>
      <c r="B180" s="297"/>
      <c r="C180" s="320"/>
      <c r="D180" s="321"/>
      <c r="E180" s="297"/>
      <c r="F180" s="323"/>
      <c r="G180" s="324"/>
      <c r="H180" s="301"/>
      <c r="I180" s="301"/>
    </row>
    <row r="181" spans="1:10" hidden="1" outlineLevel="1" x14ac:dyDescent="0.3">
      <c r="A181" s="302"/>
      <c r="B181" s="297"/>
      <c r="C181" s="320"/>
      <c r="D181" s="321"/>
      <c r="E181" s="297"/>
      <c r="F181" s="323"/>
      <c r="G181" s="324"/>
      <c r="H181" s="301"/>
      <c r="I181" s="301"/>
    </row>
    <row r="182" spans="1:10" hidden="1" outlineLevel="1" x14ac:dyDescent="0.3">
      <c r="A182" s="302"/>
      <c r="B182" s="297"/>
      <c r="C182" s="320"/>
      <c r="D182" s="321"/>
      <c r="E182" s="297"/>
      <c r="F182" s="323"/>
      <c r="G182" s="324"/>
      <c r="H182" s="301"/>
      <c r="I182" s="301"/>
    </row>
    <row r="183" spans="1:10" hidden="1" outlineLevel="1" x14ac:dyDescent="0.3">
      <c r="A183" s="302"/>
      <c r="B183" s="297"/>
      <c r="C183" s="320"/>
      <c r="D183" s="321"/>
      <c r="E183" s="297"/>
      <c r="F183" s="323"/>
      <c r="G183" s="324"/>
      <c r="H183" s="301"/>
      <c r="I183" s="301"/>
    </row>
    <row r="184" spans="1:10" hidden="1" outlineLevel="1" x14ac:dyDescent="0.3">
      <c r="A184" s="369"/>
      <c r="B184" s="370"/>
      <c r="C184" s="369"/>
      <c r="D184" s="369"/>
      <c r="E184" s="371"/>
      <c r="F184" s="369"/>
      <c r="G184" s="321"/>
      <c r="H184" s="372"/>
      <c r="I184" s="373"/>
    </row>
    <row r="185" spans="1:10" hidden="1" outlineLevel="1" x14ac:dyDescent="0.3">
      <c r="A185" s="374"/>
      <c r="B185" s="375"/>
      <c r="C185" s="374"/>
      <c r="D185" s="374"/>
      <c r="E185" s="376"/>
      <c r="F185" s="374"/>
      <c r="G185" s="327"/>
      <c r="H185" s="377"/>
      <c r="I185" s="378"/>
    </row>
    <row r="186" spans="1:10" collapsed="1" x14ac:dyDescent="0.3">
      <c r="A186" s="379" t="s">
        <v>247</v>
      </c>
      <c r="B186" s="380"/>
      <c r="C186" s="380"/>
      <c r="D186" s="380"/>
      <c r="E186" s="380"/>
      <c r="F186" s="380"/>
      <c r="G186" s="381">
        <f>$F$5</f>
        <v>1.32</v>
      </c>
      <c r="H186" s="382">
        <f>cpct</f>
        <v>100000</v>
      </c>
      <c r="I186" s="382">
        <f>H186*G186</f>
        <v>132000</v>
      </c>
    </row>
    <row r="187" spans="1:10" x14ac:dyDescent="0.3">
      <c r="A187" s="379" t="s">
        <v>248</v>
      </c>
      <c r="B187" s="383"/>
      <c r="C187" s="380"/>
      <c r="D187" s="380"/>
      <c r="E187" s="380"/>
      <c r="F187" s="380"/>
      <c r="G187" s="381">
        <f>$F$5</f>
        <v>1.32</v>
      </c>
      <c r="H187" s="382">
        <f>tbtc</f>
        <v>50000</v>
      </c>
      <c r="I187" s="382">
        <f>H187*G187</f>
        <v>66000</v>
      </c>
      <c r="J187" s="384"/>
    </row>
    <row r="188" spans="1:10" x14ac:dyDescent="0.3">
      <c r="A188" s="385" t="s">
        <v>249</v>
      </c>
      <c r="B188" s="386"/>
      <c r="C188" s="386"/>
      <c r="D188" s="386"/>
      <c r="E188" s="386"/>
      <c r="F188" s="386"/>
      <c r="G188" s="387"/>
      <c r="H188" s="388"/>
      <c r="I188" s="388">
        <f>SUBTOTAL(9,I13:I187)</f>
        <v>3014371.9958804147</v>
      </c>
    </row>
  </sheetData>
  <dataConsolidate link="1"/>
  <mergeCells count="8">
    <mergeCell ref="A188:G188"/>
    <mergeCell ref="H1:I1"/>
    <mergeCell ref="H2:I2"/>
    <mergeCell ref="G3:I3"/>
    <mergeCell ref="G4:I4"/>
    <mergeCell ref="G5:I5"/>
    <mergeCell ref="A6:A11"/>
    <mergeCell ref="G6:I6"/>
  </mergeCells>
  <conditionalFormatting sqref="E2:H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{ED7261F4-DE47-4F9E-924B-B596249D27E2}</x14:id>
        </ext>
      </extLst>
    </cfRule>
  </conditionalFormatting>
  <dataValidations count="1">
    <dataValidation type="list" allowBlank="1" showInputMessage="1" showErrorMessage="1" sqref="C2:C3" xr:uid="{186329E6-6B6D-4E6C-9802-D5236B04CEDB}">
      <formula1>makinh</formula1>
    </dataValidation>
  </dataValidations>
  <pageMargins left="0.43307086614173229" right="0.27559055118110237" top="0.55118110236220474" bottom="0.74803149606299213" header="0.31496062992125984" footer="0.31496062992125984"/>
  <pageSetup paperSize="9" scale="5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7261F4-DE47-4F9E-924B-B596249D27E2}">
            <x14:dataBar minLength="0" maxLength="100" negativeBarColorSameAsPositive="1" axisPosition="none">
              <x14:cfvo type="min"/>
              <x14:cfvo type="max"/>
            </x14:dataBar>
          </x14:cfRule>
          <xm:sqref>E2:H2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CPHoanThien</vt:lpstr>
      <vt:lpstr>DETAIL</vt:lpstr>
      <vt:lpstr>CSL-50.01</vt:lpstr>
      <vt:lpstr>CSL-50.02</vt:lpstr>
      <vt:lpstr>CSL-50.03</vt:lpstr>
      <vt:lpstr>DETAIL!Print_Titles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Dung, Nguyen Thi (QSD)</dc:creator>
  <cp:lastModifiedBy>Dung, Nguyen Thi (QSD)</cp:lastModifiedBy>
  <dcterms:created xsi:type="dcterms:W3CDTF">2025-07-04T00:58:50Z</dcterms:created>
  <dcterms:modified xsi:type="dcterms:W3CDTF">2025-07-04T00:59:33Z</dcterms:modified>
</cp:coreProperties>
</file>